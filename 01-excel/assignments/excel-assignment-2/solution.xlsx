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20" firstSheet="4" activeTab="4"/>
  </bookViews>
  <sheets>
    <sheet name="To Do" sheetId="10" r:id="rId1"/>
    <sheet name="Sample Wellness Dataset" sheetId="6" r:id="rId2"/>
    <sheet name="pivote table 1" sheetId="11" r:id="rId3"/>
    <sheet name="pivote table 2" sheetId="12" r:id="rId4"/>
    <sheet name="pivote table 3" sheetId="13" r:id="rId5"/>
  </sheets>
  <definedNames>
    <definedName name="_xlnm._FilterDatabase" localSheetId="1" hidden="1">'Sample Wellness Dataset'!$L$1:$L$124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<sst xmlns="http://schemas.openxmlformats.org/spreadsheetml/2006/main" count="770" uniqueCount="168">
  <si>
    <t>Phase 1</t>
  </si>
  <si>
    <t>Steps to Perform</t>
  </si>
  <si>
    <t xml:space="preserve">Check </t>
  </si>
  <si>
    <t>Comments</t>
  </si>
  <si>
    <t>Basic Formatting, Data Manipulation, Data Cleaning and Formulas</t>
  </si>
  <si>
    <t>Fix column width and highlight headers</t>
  </si>
  <si>
    <t>select headers , double click between this line of any 2 columns</t>
  </si>
  <si>
    <t>Fix the date column for consistentcy
Final format should be: 01-Jan-2025</t>
  </si>
  <si>
    <t>format cells , number , data</t>
  </si>
  <si>
    <t>Replace Blank values in Step column with 4000</t>
  </si>
  <si>
    <t>use filter , and then remove it . or Go to specials - blanks</t>
  </si>
  <si>
    <t>Find out the minimum water consumption in liters
using =MIN() formula</t>
  </si>
  <si>
    <t>Fill the blank values in the water_liters column with the 
minimum value you computed in the last step</t>
  </si>
  <si>
    <t>filter , in web version!</t>
  </si>
  <si>
    <t>Create another column and use =TRIM() on screentime_hours column to remove any leading or trailing spaces (make sure to only keep the final column)</t>
  </si>
  <si>
    <t>trim function, then swap the plus , and copy values just .</t>
  </si>
  <si>
    <t>Fix the Journaled column: fill missing values and ensure non redundant values only</t>
  </si>
  <si>
    <t>You can fill out the blank values with "Unknown"</t>
  </si>
  <si>
    <t>Delete the notes column</t>
  </si>
  <si>
    <r>
      <rPr>
        <sz val="11"/>
        <color theme="1"/>
        <rFont val="Aptos"/>
        <charset val="134"/>
      </rPr>
      <t xml:space="preserve">Create a new column called Performance using the following formula:
</t>
    </r>
    <r>
      <rPr>
        <i/>
        <sz val="11"/>
        <color theme="1"/>
        <rFont val="Aptos"/>
        <charset val="134"/>
      </rPr>
      <t>Performance =(Steps/10000*0.4) + (Minutes/60*0.2) + (Sleep_Hours/8*0.2) + (Water_Liters/2*0.2)</t>
    </r>
  </si>
  <si>
    <t>Adjust precision to 2 decimal places</t>
  </si>
  <si>
    <t>Filters, Conditional Formatting and Sorting</t>
  </si>
  <si>
    <t>Remove Rows where Journaled = "Unknown"</t>
  </si>
  <si>
    <t>filter , then remove rows , remove filter</t>
  </si>
  <si>
    <t>Get the average performance score</t>
  </si>
  <si>
    <t>You can use AutoSum(Average) or simply the formula</t>
  </si>
  <si>
    <t>Apply conditional formatting to highlight cell values for sleep_hours column where sleep hours are less than or equals to 5</t>
  </si>
  <si>
    <t>Apply conditional formatting to highlight cell values for sleep_quality column where sleep quality is excellent</t>
  </si>
  <si>
    <t>Apply conditional formatting to top 5 performance scores and filter them</t>
  </si>
  <si>
    <t>Remove the filter when you are done</t>
  </si>
  <si>
    <t>Extract the month from date column and sort the data by month first and then screentime</t>
  </si>
  <si>
    <t>Use =MONTH() to get the month number. 
Example Jan=1, Feb=2 and so on. You may need to
convert it to number data type.</t>
  </si>
  <si>
    <t>Pivot Tables and Charts</t>
  </si>
  <si>
    <t>Make a pivot table and sumamrize sleep quality with its count</t>
  </si>
  <si>
    <t>Pivot table 1</t>
  </si>
  <si>
    <t>Make another pivot table and find out the counts for every mood type</t>
  </si>
  <si>
    <t>Pivot table 2</t>
  </si>
  <si>
    <t>Make another pivot table to show average steps over time</t>
  </si>
  <si>
    <t>Pivot table 3</t>
  </si>
  <si>
    <t>Make and format the pie chart for the first pivot table data</t>
  </si>
  <si>
    <t>Make a labelled bar chart and format it for the second pivot table</t>
  </si>
  <si>
    <t>For the final pivot table make a line chart with weekly granularity</t>
  </si>
  <si>
    <t>Date</t>
  </si>
  <si>
    <t>Activity</t>
  </si>
  <si>
    <t>Steps</t>
  </si>
  <si>
    <t>Minutes</t>
  </si>
  <si>
    <t>Water_Liters</t>
  </si>
  <si>
    <t>Sleep_Hours</t>
  </si>
  <si>
    <t>Sleep_Quality</t>
  </si>
  <si>
    <t>Mood</t>
  </si>
  <si>
    <t>Food_Type</t>
  </si>
  <si>
    <t>ScreenTime_Hours</t>
  </si>
  <si>
    <t>Journaled</t>
  </si>
  <si>
    <t xml:space="preserve">Performance </t>
  </si>
  <si>
    <t>Running</t>
  </si>
  <si>
    <t>Excellent</t>
  </si>
  <si>
    <t>Sad</t>
  </si>
  <si>
    <t>Home4000Cooked</t>
  </si>
  <si>
    <t>5.2</t>
  </si>
  <si>
    <t>No</t>
  </si>
  <si>
    <t>Yoga</t>
  </si>
  <si>
    <t>Mixed</t>
  </si>
  <si>
    <t>400040007.64</t>
  </si>
  <si>
    <t>Yes</t>
  </si>
  <si>
    <t>Meditation</t>
  </si>
  <si>
    <t>Happy</t>
  </si>
  <si>
    <t>Healthy</t>
  </si>
  <si>
    <t>1.3</t>
  </si>
  <si>
    <t>Walking</t>
  </si>
  <si>
    <t>Good</t>
  </si>
  <si>
    <t>5.8</t>
  </si>
  <si>
    <t>Reading</t>
  </si>
  <si>
    <t>Relaxed</t>
  </si>
  <si>
    <t>Average</t>
  </si>
  <si>
    <t>Tired</t>
  </si>
  <si>
    <t>Fast4000Food</t>
  </si>
  <si>
    <t>5</t>
  </si>
  <si>
    <t>Swimming</t>
  </si>
  <si>
    <t>Snacks</t>
  </si>
  <si>
    <t>400040006.64</t>
  </si>
  <si>
    <t>Poor</t>
  </si>
  <si>
    <t>5.7</t>
  </si>
  <si>
    <t>Cycling</t>
  </si>
  <si>
    <t>2.8</t>
  </si>
  <si>
    <t>Gym4000Workout</t>
  </si>
  <si>
    <t>5.9</t>
  </si>
  <si>
    <t>3.1</t>
  </si>
  <si>
    <t>Calm</t>
  </si>
  <si>
    <t>2.9</t>
  </si>
  <si>
    <t>Stressed</t>
  </si>
  <si>
    <t>4.5</t>
  </si>
  <si>
    <t>5.4</t>
  </si>
  <si>
    <t>Energetic</t>
  </si>
  <si>
    <t>2</t>
  </si>
  <si>
    <t>7</t>
  </si>
  <si>
    <t>7.6</t>
  </si>
  <si>
    <t>2.4</t>
  </si>
  <si>
    <t>3.6</t>
  </si>
  <si>
    <t>3.5</t>
  </si>
  <si>
    <t>1.4</t>
  </si>
  <si>
    <t>6.9</t>
  </si>
  <si>
    <t>7.8</t>
  </si>
  <si>
    <t>6</t>
  </si>
  <si>
    <t>3.9</t>
  </si>
  <si>
    <t>6.2</t>
  </si>
  <si>
    <t>5.5</t>
  </si>
  <si>
    <t>6.3</t>
  </si>
  <si>
    <t>7.3</t>
  </si>
  <si>
    <t>3.3</t>
  </si>
  <si>
    <t>4.1</t>
  </si>
  <si>
    <t>6.7</t>
  </si>
  <si>
    <t>400040007.34</t>
  </si>
  <si>
    <t>4.9</t>
  </si>
  <si>
    <t>1.7</t>
  </si>
  <si>
    <t>4.2</t>
  </si>
  <si>
    <t>7.9</t>
  </si>
  <si>
    <t>1.1</t>
  </si>
  <si>
    <t>1.8</t>
  </si>
  <si>
    <t>3.8</t>
  </si>
  <si>
    <t>2.2</t>
  </si>
  <si>
    <t>6.6</t>
  </si>
  <si>
    <t>3.4</t>
  </si>
  <si>
    <t>4.4</t>
  </si>
  <si>
    <t>3.2</t>
  </si>
  <si>
    <t>6.8</t>
  </si>
  <si>
    <t>5.1</t>
  </si>
  <si>
    <t>6.5</t>
  </si>
  <si>
    <t>5.3</t>
  </si>
  <si>
    <t>400040006.54</t>
  </si>
  <si>
    <t>7.4</t>
  </si>
  <si>
    <t>400040007.54</t>
  </si>
  <si>
    <t>4.7</t>
  </si>
  <si>
    <t>6.1</t>
  </si>
  <si>
    <t>400040005.84</t>
  </si>
  <si>
    <t>3.7</t>
  </si>
  <si>
    <t>400040006.14</t>
  </si>
  <si>
    <t>4.3</t>
  </si>
  <si>
    <t>1</t>
  </si>
  <si>
    <t>4.6</t>
  </si>
  <si>
    <t>1.6</t>
  </si>
  <si>
    <t>400040007.24</t>
  </si>
  <si>
    <t>Count of Sleep_Quality</t>
  </si>
  <si>
    <t>Count of Mood</t>
  </si>
  <si>
    <t>(blank)</t>
  </si>
  <si>
    <t>Grand Total</t>
  </si>
  <si>
    <t>Sum of Steps</t>
  </si>
  <si>
    <t>02-01-2025</t>
  </si>
  <si>
    <t>02-04-2025</t>
  </si>
  <si>
    <t>03-02-2025</t>
  </si>
  <si>
    <t>06-01-2025</t>
  </si>
  <si>
    <t>06-02-2025</t>
  </si>
  <si>
    <t>08-01-2025</t>
  </si>
  <si>
    <t>08-03-2025</t>
  </si>
  <si>
    <t>10-03-2025</t>
  </si>
  <si>
    <t>11-01-2025</t>
  </si>
  <si>
    <t>14-02-2025</t>
  </si>
  <si>
    <t>15-03-2025</t>
  </si>
  <si>
    <t>17-02-2025</t>
  </si>
  <si>
    <t>19-01-2025</t>
  </si>
  <si>
    <t>19-03-2025</t>
  </si>
  <si>
    <t>20-04-2025</t>
  </si>
  <si>
    <t>22-04-2025</t>
  </si>
  <si>
    <t>24-02-2025</t>
  </si>
  <si>
    <t>26-04-2025</t>
  </si>
  <si>
    <t>27-01-2025</t>
  </si>
  <si>
    <t>27-02-2025</t>
  </si>
  <si>
    <t>27-04-2025</t>
  </si>
  <si>
    <t>29-03-2025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</si>
</sst>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14C09]d\ mmm\ yyyy;@"/>
  </numFmts>
  <fonts count="25">
    <font>
      <sz val="11"/>
      <color theme="1"/>
      <name val="Aptos Narrow"/>
      <charset val="134"/>
      <scheme val="minor"/>
    </font>
    <font>
      <sz val="11"/>
      <color theme="1"/>
      <name val="Aptos"/>
      <charset val="134"/>
    </font>
    <font>
      <sz val="12"/>
      <color rgb="FF000000"/>
      <name val="Quote-Cjk-Patch"/>
      <charset val="134"/>
    </font>
    <font>
      <b/>
      <sz val="11"/>
      <color theme="1"/>
      <name val="Aptos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i/>
      <sz val="11"/>
      <color theme="1"/>
      <name val="Aptos"/>
      <charset val="134"/>
    </font>
  </fonts>
  <fills count="37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9" borderId="4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20">
    <xf numFmtId="0" fontId="0" fillId="0" borderId="0" xfId="0"/>
    <xf numFmtId="58" fontId="0" fillId="0" borderId="0" xfId="0" applyNumberFormat="1"/>
    <xf numFmtId="176" fontId="0" fillId="0" borderId="0" xfId="0" applyNumberFormat="1" applyAlignment="1">
      <alignment horizontal="center"/>
    </xf>
    <xf numFmtId="2" fontId="0" fillId="0" borderId="0" xfId="0" applyNumberFormat="1"/>
    <xf numFmtId="176" fontId="1" fillId="2" borderId="0" xfId="0" applyNumberFormat="1" applyFont="1" applyFill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2" fillId="2" borderId="0" xfId="0" applyFont="1" applyFill="1"/>
    <xf numFmtId="2" fontId="1" fillId="2" borderId="0" xfId="0" applyNumberFormat="1" applyFont="1" applyFill="1" applyAlignment="1">
      <alignment horizontal="center" vertical="top"/>
    </xf>
    <xf numFmtId="0" fontId="3" fillId="0" borderId="0" xfId="0" applyFont="1"/>
    <xf numFmtId="0" fontId="1" fillId="0" borderId="0" xfId="0" applyFont="1"/>
    <xf numFmtId="0" fontId="1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1" fillId="6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6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colors>
    <mruColors>
      <color rgb="00EDB4A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[Excel For Data Management-2.xlsx]pivote table 1!PivotTable1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'pivote table 1'!$A$3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'pivote table 1'!$A$4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'pivote table 1'!$A$4</c:f>
              <c:numCache>
                <c:formatCode>General</c:formatCode>
                <c:ptCount val="1"/>
                <c:pt idx="0">
                  <c:v>113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b6e181c-a14a-4a42-8c6f-89fc15712af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[Excel For Data Management-2.xlsx]pivote table 2!PivotTable2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'pivote table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'pivote table 2'!$A$4:$A$12</c:f>
              <c:strCache>
                <c:ptCount val="8"/>
                <c:pt idx="0">
                  <c:v>Calm</c:v>
                </c:pt>
                <c:pt idx="1">
                  <c:v>Energetic</c:v>
                </c:pt>
                <c:pt idx="2">
                  <c:v>Happy</c:v>
                </c:pt>
                <c:pt idx="3">
                  <c:v>Relaxed</c:v>
                </c:pt>
                <c:pt idx="4">
                  <c:v>Sad</c:v>
                </c:pt>
                <c:pt idx="5">
                  <c:v>Stressed</c:v>
                </c:pt>
                <c:pt idx="6">
                  <c:v>Tired</c:v>
                </c:pt>
                <c:pt idx="7">
                  <c:v>(blank)</c:v>
                </c:pt>
              </c:strCache>
            </c:strRef>
          </c:cat>
          <c:val>
            <c:numRef>
              <c:f>'pivote table 2'!$B$4:$B$12</c:f>
              <c:numCache>
                <c:formatCode>General</c:formatCode>
                <c:ptCount val="8"/>
                <c:pt idx="0">
                  <c:v>15</c:v>
                </c:pt>
                <c:pt idx="1">
                  <c:v>17</c:v>
                </c:pt>
                <c:pt idx="2">
                  <c:v>18</c:v>
                </c:pt>
                <c:pt idx="3">
                  <c:v>17</c:v>
                </c:pt>
                <c:pt idx="4">
                  <c:v>21</c:v>
                </c:pt>
                <c:pt idx="5">
                  <c:v>12</c:v>
                </c:pt>
                <c:pt idx="6">
                  <c:v>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3284360"/>
        <c:axId val="1460875784"/>
      </c:barChart>
      <c:catAx>
        <c:axId val="1933284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60875784"/>
        <c:crosses val="autoZero"/>
        <c:auto val="1"/>
        <c:lblAlgn val="ctr"/>
        <c:lblOffset val="100"/>
        <c:noMultiLvlLbl val="0"/>
      </c:catAx>
      <c:valAx>
        <c:axId val="1460875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33284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7dcf7b0-2a5a-45cd-b5d0-ba686620b04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19050</xdr:colOff>
      <xdr:row>2</xdr:row>
      <xdr:rowOff>171450</xdr:rowOff>
    </xdr:from>
    <xdr:to>
      <xdr:col>9</xdr:col>
      <xdr:colOff>323850</xdr:colOff>
      <xdr:row>17</xdr:row>
      <xdr:rowOff>57150</xdr:rowOff>
    </xdr:to>
    <xdr:graphicFrame>
      <xdr:nvGraphicFramePr>
        <xdr:cNvPr id="2" name="Chart 1"/>
        <xdr:cNvGraphicFramePr/>
      </xdr:nvGraphicFramePr>
      <xdr:xfrm>
        <a:off x="2047240" y="598170"/>
        <a:ext cx="4465320" cy="3086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523875</xdr:colOff>
      <xdr:row>1</xdr:row>
      <xdr:rowOff>104775</xdr:rowOff>
    </xdr:from>
    <xdr:to>
      <xdr:col>10</xdr:col>
      <xdr:colOff>219075</xdr:colOff>
      <xdr:row>15</xdr:row>
      <xdr:rowOff>180975</xdr:rowOff>
    </xdr:to>
    <xdr:graphicFrame>
      <xdr:nvGraphicFramePr>
        <xdr:cNvPr id="2" name="Chart 1"/>
        <xdr:cNvGraphicFramePr/>
      </xdr:nvGraphicFramePr>
      <xdr:xfrm>
        <a:off x="2212340" y="318135"/>
        <a:ext cx="4450080" cy="3063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034.940766088" refreshedBy="Excel Services" recordCount="124">
  <cacheSource type="worksheet">
    <worksheetSource ref="A1:L1048576" sheet="Sample Wellness Dataset"/>
  </cacheSource>
  <cacheFields count="12">
    <cacheField name="Date" numFmtId="0">
      <sharedItems containsBlank="1" containsDate="1" containsMixedTypes="1" count="114">
        <d v="2025-01-01T00:00:00"/>
        <s v="02-01-2025"/>
        <d v="2025-01-03T00:00:00"/>
        <d v="2025-01-04T00:00:00"/>
        <d v="2025-01-05T00:00:00"/>
        <s v="06-01-2025"/>
        <d v="2025-01-07T00:00:00"/>
        <s v="08-01-2025"/>
        <d v="2025-01-09T00:00:00"/>
        <d v="2025-01-10T00:00:00"/>
        <s v="11-01-2025"/>
        <d v="2025-01-12T00:00:00"/>
        <d v="2025-01-13T00:00:00"/>
        <d v="2025-01-14T00:00:00"/>
        <d v="2025-01-15T00:00:00"/>
        <d v="2025-01-16T00:00:00"/>
        <d v="2025-01-17T00:00:00"/>
        <d v="2025-01-18T00:00:00"/>
        <s v="19-01-2025"/>
        <d v="2025-01-20T00:00:00"/>
        <d v="2025-01-21T00:00:00"/>
        <d v="2025-01-22T00:00:00"/>
        <d v="2025-01-23T00:00:00"/>
        <d v="2025-01-24T00:00:00"/>
        <d v="2025-01-25T00:00:00"/>
        <d v="2025-01-26T00:00:00"/>
        <s v="27-01-2025"/>
        <d v="2025-01-28T00:00:00"/>
        <d v="2025-01-29T00:00:00"/>
        <d v="2025-01-31T00:00:00"/>
        <d v="2025-02-01T00:00:00"/>
        <d v="2025-02-02T00:00:00"/>
        <s v="03-02-2025"/>
        <d v="2025-02-04T00:00:00"/>
        <d v="2025-02-05T00:00:00"/>
        <s v="06-02-2025"/>
        <d v="2025-02-09T00:00:00"/>
        <d v="2025-02-11T00:00:00"/>
        <d v="2025-02-12T00:00:00"/>
        <d v="2025-02-13T00:00:00"/>
        <s v="14-02-2025"/>
        <d v="2025-02-15T00:00:00"/>
        <d v="2025-02-16T00:00:00"/>
        <s v="17-02-2025"/>
        <d v="2025-02-18T00:00:00"/>
        <d v="2025-02-19T00:00:00"/>
        <d v="2025-02-20T00:00:00"/>
        <d v="2025-02-21T00:00:00"/>
        <d v="2025-02-22T00:00:00"/>
        <d v="2025-02-23T00:00:00"/>
        <s v="24-02-2025"/>
        <d v="2025-02-25T00:00:00"/>
        <d v="2025-02-26T00:00:00"/>
        <s v="27-02-2025"/>
        <d v="2025-02-28T00:00:00"/>
        <d v="2025-03-01T00:00:00"/>
        <d v="2025-03-02T00:00:00"/>
        <d v="2025-03-03T00:00:00"/>
        <d v="2025-03-04T00:00:00"/>
        <d v="2025-03-06T00:00:00"/>
        <d v="2025-03-07T00:00:00"/>
        <s v="08-03-2025"/>
        <d v="2025-03-09T00:00:00"/>
        <s v="10-03-2025"/>
        <d v="2025-03-11T00:00:00"/>
        <d v="2025-03-12T00:00:00"/>
        <d v="2025-03-13T00:00:00"/>
        <d v="2025-03-14T00:00:00"/>
        <s v="15-03-2025"/>
        <d v="2025-03-16T00:00:00"/>
        <d v="2025-03-17T00:00:00"/>
        <d v="2025-03-18T00:00:00"/>
        <s v="19-03-2025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s v="29-03-2025"/>
        <d v="2025-03-30T00:00:00"/>
        <d v="2025-03-31T00:00:00"/>
        <d v="2025-04-01T00:00:00"/>
        <s v="02-04-2025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s v="20-04-2025"/>
        <s v="22-04-2025"/>
        <d v="2025-04-23T00:00:00"/>
        <d v="2025-04-24T00:00:00"/>
        <s v="26-04-2025"/>
        <s v="27-04-2025"/>
        <d v="2025-04-28T00:00:00"/>
        <d v="2025-04-29T00:00:00"/>
        <d v="2025-04-30T00:00:00"/>
        <m/>
      </sharedItems>
    </cacheField>
    <cacheField name="Activity" numFmtId="0">
      <sharedItems containsBlank="1" count="9">
        <s v="Running"/>
        <s v="Yoga"/>
        <s v="Meditation"/>
        <s v="Walking"/>
        <s v="Reading"/>
        <s v="Swimming"/>
        <s v="Cycling"/>
        <s v="Gym4000Workout"/>
        <m/>
      </sharedItems>
    </cacheField>
    <cacheField name="Steps" numFmtId="0"/>
    <cacheField name="Minutes" numFmtId="0"/>
    <cacheField name="Water_Liters" numFmtId="0"/>
    <cacheField name="Sleep_Hours" numFmtId="0"/>
    <cacheField name="Sleep_Quality" numFmtId="0">
      <sharedItems containsBlank="1" count="5">
        <s v="Excellent"/>
        <s v="Good"/>
        <s v="Average"/>
        <s v="Poor"/>
        <m/>
      </sharedItems>
    </cacheField>
    <cacheField name="Mood" numFmtId="0">
      <sharedItems containsBlank="1" count="8">
        <s v="Sad"/>
        <s v="Happy"/>
        <s v="Relaxed"/>
        <s v="Tired"/>
        <s v="Calm"/>
        <s v="Stressed"/>
        <s v="Energetic"/>
        <m/>
      </sharedItems>
    </cacheField>
    <cacheField name="Food_Type" numFmtId="0"/>
    <cacheField name="ScreenTime_Hours" numFmtId="0"/>
    <cacheField name="Journaled" numFmtId="0"/>
    <cacheField name="Performance " numFmtId="2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">
  <r>
    <x v="0"/>
    <x v="0"/>
    <n v="8770"/>
    <n v="61"/>
    <n v="0.5"/>
    <n v="7.7"/>
    <x v="0"/>
    <x v="0"/>
    <s v="Home4000Cooked"/>
    <s v="5.2"/>
    <s v="No"/>
    <n v="0.79663333333333342"/>
  </r>
  <r>
    <x v="1"/>
    <x v="1"/>
    <n v="9822"/>
    <n v="31"/>
    <n v="0.7"/>
    <n v="7.6"/>
    <x v="0"/>
    <x v="0"/>
    <s v="Mixed"/>
    <s v="400040007.64"/>
    <s v="Yes"/>
    <n v="0.75621333333333329"/>
  </r>
  <r>
    <x v="2"/>
    <x v="2"/>
    <n v="12596"/>
    <n v="58"/>
    <n v="2.1"/>
    <n v="6"/>
    <x v="0"/>
    <x v="1"/>
    <s v="Healthy"/>
    <s v="1.3"/>
    <s v="No"/>
    <n v="1.0571733333333335"/>
  </r>
  <r>
    <x v="3"/>
    <x v="3"/>
    <n v="4000"/>
    <n v="73"/>
    <n v="1.9"/>
    <n v="8.3000000000000007"/>
    <x v="1"/>
    <x v="0"/>
    <s v="Mixed"/>
    <s v="5.8"/>
    <s v="No"/>
    <n v="0.80083333333333329"/>
  </r>
  <r>
    <x v="4"/>
    <x v="4"/>
    <n v="9013"/>
    <n v="62"/>
    <n v="1.2"/>
    <n v="5.2"/>
    <x v="1"/>
    <x v="2"/>
    <s v="Healthy"/>
    <s v="5.8"/>
    <s v="No"/>
    <n v="0.81718666666666673"/>
  </r>
  <r>
    <x v="5"/>
    <x v="2"/>
    <n v="9055"/>
    <n v="11"/>
    <n v="1.8"/>
    <n v="5"/>
    <x v="2"/>
    <x v="3"/>
    <s v="Fast4000Food"/>
    <s v="5"/>
    <s v="No"/>
    <n v="0.70386666666666675"/>
  </r>
  <r>
    <x v="6"/>
    <x v="5"/>
    <n v="14603"/>
    <n v="24"/>
    <n v="0.8"/>
    <n v="5"/>
    <x v="0"/>
    <x v="1"/>
    <s v="Snacks"/>
    <s v="1.3"/>
    <s v="Yes"/>
    <n v="0.86912000000000011"/>
  </r>
  <r>
    <x v="7"/>
    <x v="5"/>
    <n v="6359"/>
    <n v="69"/>
    <n v="2.1"/>
    <n v="4.7"/>
    <x v="2"/>
    <x v="2"/>
    <s v="Healthy"/>
    <s v="400040006.64"/>
    <s v="No"/>
    <n v="0.81186000000000003"/>
  </r>
  <r>
    <x v="8"/>
    <x v="0"/>
    <n v="6758"/>
    <n v="90"/>
    <n v="2.6"/>
    <n v="8"/>
    <x v="3"/>
    <x v="1"/>
    <s v="Mixed"/>
    <s v="5.2"/>
    <s v="Yes"/>
    <n v="1.0303200000000001"/>
  </r>
  <r>
    <x v="9"/>
    <x v="5"/>
    <n v="4604"/>
    <n v="57"/>
    <n v="1.6"/>
    <n v="7.3"/>
    <x v="1"/>
    <x v="0"/>
    <s v="Healthy"/>
    <s v="5.7"/>
    <s v="Yes"/>
    <n v="0.71665999999999996"/>
  </r>
  <r>
    <x v="10"/>
    <x v="6"/>
    <n v="12382"/>
    <n v="10"/>
    <n v="2.7"/>
    <n v="5.2"/>
    <x v="2"/>
    <x v="1"/>
    <s v="Fast4000Food"/>
    <s v="2.8"/>
    <s v="Yes"/>
    <n v="0.9286133333333334"/>
  </r>
  <r>
    <x v="11"/>
    <x v="7"/>
    <n v="2363"/>
    <n v="112"/>
    <n v="1.9"/>
    <n v="6.8"/>
    <x v="3"/>
    <x v="0"/>
    <s v="Home4000Cooked"/>
    <s v="5.9"/>
    <s v="No"/>
    <n v="0.82785333333333333"/>
  </r>
  <r>
    <x v="12"/>
    <x v="5"/>
    <n v="11414"/>
    <n v="95"/>
    <n v="3.1"/>
    <n v="7.1"/>
    <x v="1"/>
    <x v="0"/>
    <s v="Home4000Cooked"/>
    <s v="3.1"/>
    <s v="Yes"/>
    <n v="1.2607266666666668"/>
  </r>
  <r>
    <x v="13"/>
    <x v="1"/>
    <n v="4000"/>
    <n v="101"/>
    <n v="1.6"/>
    <n v="8.5"/>
    <x v="1"/>
    <x v="4"/>
    <s v="Snacks"/>
    <s v="2.9"/>
    <s v="No"/>
    <n v="0.86916666666666675"/>
  </r>
  <r>
    <x v="14"/>
    <x v="6"/>
    <n v="7030"/>
    <n v="18"/>
    <n v="2"/>
    <n v="7.5"/>
    <x v="2"/>
    <x v="2"/>
    <s v="Healthy"/>
    <s v="2.9"/>
    <s v="No"/>
    <n v="0.7286999999999999"/>
  </r>
  <r>
    <x v="15"/>
    <x v="3"/>
    <n v="3353"/>
    <n v="67"/>
    <n v="0.5"/>
    <n v="5.3"/>
    <x v="1"/>
    <x v="5"/>
    <s v="Home4000Cooked"/>
    <s v="4.5"/>
    <s v="Yes"/>
    <n v="0.5399533333333334"/>
  </r>
  <r>
    <x v="16"/>
    <x v="5"/>
    <n v="2354"/>
    <n v="110"/>
    <n v="1.5"/>
    <n v="7.2"/>
    <x v="1"/>
    <x v="0"/>
    <s v="Snacks"/>
    <s v="5.8"/>
    <s v="No"/>
    <n v="0.79082666666666679"/>
  </r>
  <r>
    <x v="17"/>
    <x v="4"/>
    <n v="12947"/>
    <n v="26"/>
    <n v="2.7"/>
    <n v="5.8"/>
    <x v="1"/>
    <x v="3"/>
    <s v="Fast4000Food"/>
    <s v="5.4"/>
    <s v="No"/>
    <n v="1.0195466666666668"/>
  </r>
  <r>
    <x v="18"/>
    <x v="7"/>
    <n v="13089"/>
    <n v="89"/>
    <n v="0.6"/>
    <n v="7"/>
    <x v="3"/>
    <x v="6"/>
    <s v="Snacks"/>
    <s v="5.7"/>
    <s v="Yes"/>
    <n v="1.0552266666666668"/>
  </r>
  <r>
    <x v="19"/>
    <x v="1"/>
    <n v="4476"/>
    <n v="49"/>
    <n v="1.7"/>
    <n v="8.6999999999999993"/>
    <x v="3"/>
    <x v="1"/>
    <s v="Healthy"/>
    <s v="2"/>
    <s v="Yes"/>
    <n v="0.72987333333333337"/>
  </r>
  <r>
    <x v="20"/>
    <x v="1"/>
    <n v="7787"/>
    <n v="99"/>
    <n v="3.4"/>
    <n v="6.6"/>
    <x v="3"/>
    <x v="6"/>
    <s v="Healthy"/>
    <s v="2.8"/>
    <s v="No"/>
    <n v="1.1464800000000002"/>
  </r>
  <r>
    <x v="21"/>
    <x v="4"/>
    <n v="8900"/>
    <n v="108"/>
    <n v="2.6"/>
    <n v="8.1999999999999993"/>
    <x v="1"/>
    <x v="6"/>
    <s v="Healthy"/>
    <s v="7"/>
    <s v="Yes"/>
    <n v="1.181"/>
  </r>
  <r>
    <x v="22"/>
    <x v="7"/>
    <n v="5699"/>
    <n v="93"/>
    <n v="2.2000000000000002"/>
    <n v="5.9"/>
    <x v="1"/>
    <x v="1"/>
    <s v="Home4000Cooked"/>
    <s v="7.6"/>
    <s v="No"/>
    <n v="0.90545999999999993"/>
  </r>
  <r>
    <x v="23"/>
    <x v="4"/>
    <n v="2456"/>
    <n v="50"/>
    <n v="1"/>
    <n v="4.0999999999999996"/>
    <x v="0"/>
    <x v="0"/>
    <s v="Home4000Cooked"/>
    <s v="4.5"/>
    <s v="No"/>
    <n v="0.46740666666666664"/>
  </r>
  <r>
    <x v="24"/>
    <x v="0"/>
    <n v="12427"/>
    <n v="85"/>
    <n v="2"/>
    <n v="7.2"/>
    <x v="2"/>
    <x v="2"/>
    <s v="Mixed"/>
    <s v="2.8"/>
    <s v="No"/>
    <n v="1.1604133333333335"/>
  </r>
  <r>
    <x v="25"/>
    <x v="5"/>
    <n v="6393"/>
    <n v="106"/>
    <n v="0.5"/>
    <n v="6.5"/>
    <x v="1"/>
    <x v="6"/>
    <s v="Mixed"/>
    <s v="2.4"/>
    <s v="Yes"/>
    <n v="0.82155333333333336"/>
  </r>
  <r>
    <x v="26"/>
    <x v="5"/>
    <n v="10935"/>
    <n v="39"/>
    <n v="3.4"/>
    <n v="8.6"/>
    <x v="3"/>
    <x v="1"/>
    <s v="Healthy"/>
    <s v="3.6"/>
    <s v="Yes"/>
    <n v="1.1224000000000001"/>
  </r>
  <r>
    <x v="27"/>
    <x v="7"/>
    <n v="6588"/>
    <n v="72"/>
    <n v="1.4"/>
    <n v="5"/>
    <x v="1"/>
    <x v="1"/>
    <s v="Fast4000Food"/>
    <s v="2.9"/>
    <s v="Yes"/>
    <n v="0.76851999999999998"/>
  </r>
  <r>
    <x v="28"/>
    <x v="4"/>
    <n v="4233"/>
    <n v="33"/>
    <n v="1.1000000000000001"/>
    <n v="7.4"/>
    <x v="0"/>
    <x v="2"/>
    <s v="Mixed"/>
    <s v="3.5"/>
    <s v="No"/>
    <n v="0.57432000000000005"/>
  </r>
  <r>
    <x v="29"/>
    <x v="6"/>
    <n v="4000"/>
    <n v="74"/>
    <n v="0.7"/>
    <n v="6"/>
    <x v="2"/>
    <x v="5"/>
    <s v="Home4000Cooked"/>
    <s v="1.4"/>
    <s v="No"/>
    <n v="0.62666666666666671"/>
  </r>
  <r>
    <x v="30"/>
    <x v="4"/>
    <n v="5646"/>
    <n v="34"/>
    <n v="0.5"/>
    <n v="8.9"/>
    <x v="0"/>
    <x v="4"/>
    <s v="Fast4000Food"/>
    <s v="6.9"/>
    <s v="Yes"/>
    <n v="0.6116733333333334"/>
  </r>
  <r>
    <x v="31"/>
    <x v="3"/>
    <n v="12352"/>
    <n v="106"/>
    <n v="3"/>
    <n v="5.4"/>
    <x v="1"/>
    <x v="6"/>
    <s v="Fast4000Food"/>
    <s v="7.8"/>
    <s v="Yes"/>
    <n v="1.2824133333333334"/>
  </r>
  <r>
    <x v="32"/>
    <x v="3"/>
    <n v="8579"/>
    <n v="61"/>
    <n v="0.9"/>
    <n v="8.8000000000000007"/>
    <x v="1"/>
    <x v="1"/>
    <s v="Healthy"/>
    <s v="6"/>
    <s v="Yes"/>
    <n v="0.85649333333333344"/>
  </r>
  <r>
    <x v="33"/>
    <x v="6"/>
    <n v="9808"/>
    <n v="71"/>
    <n v="3"/>
    <n v="7.5"/>
    <x v="2"/>
    <x v="0"/>
    <s v="Snacks"/>
    <s v="3.9"/>
    <s v="No"/>
    <n v="1.1164866666666668"/>
  </r>
  <r>
    <x v="34"/>
    <x v="1"/>
    <n v="14275"/>
    <n v="118"/>
    <n v="1.3"/>
    <n v="8.8000000000000007"/>
    <x v="3"/>
    <x v="4"/>
    <s v="Snacks"/>
    <s v="6.2"/>
    <s v="No"/>
    <n v="1.3143333333333334"/>
  </r>
  <r>
    <x v="35"/>
    <x v="0"/>
    <n v="14784"/>
    <n v="95"/>
    <n v="0.5"/>
    <n v="4.5999999999999996"/>
    <x v="0"/>
    <x v="0"/>
    <s v="Snacks"/>
    <s v="1.3"/>
    <s v="Yes"/>
    <n v="1.0730266666666666"/>
  </r>
  <r>
    <x v="36"/>
    <x v="6"/>
    <n v="13238"/>
    <n v="93"/>
    <n v="2.2000000000000002"/>
    <n v="5.9"/>
    <x v="3"/>
    <x v="4"/>
    <s v="Snacks"/>
    <s v="5.5"/>
    <s v="No"/>
    <n v="1.2070200000000002"/>
  </r>
  <r>
    <x v="37"/>
    <x v="0"/>
    <n v="11317"/>
    <n v="43"/>
    <n v="0.5"/>
    <n v="6.5"/>
    <x v="0"/>
    <x v="0"/>
    <s v="Mixed"/>
    <s v="5.9"/>
    <s v="Yes"/>
    <n v="0.80851333333333331"/>
  </r>
  <r>
    <x v="38"/>
    <x v="6"/>
    <n v="10367"/>
    <n v="19"/>
    <n v="1.8"/>
    <n v="6.8"/>
    <x v="1"/>
    <x v="5"/>
    <s v="Snacks"/>
    <s v="5"/>
    <s v="No"/>
    <n v="0.82801333333333338"/>
  </r>
  <r>
    <x v="39"/>
    <x v="2"/>
    <n v="13824"/>
    <n v="21"/>
    <n v="1.8"/>
    <n v="7.8"/>
    <x v="1"/>
    <x v="4"/>
    <s v="Snacks"/>
    <s v="6.3"/>
    <s v="Yes"/>
    <n v="0.99796000000000007"/>
  </r>
  <r>
    <x v="40"/>
    <x v="7"/>
    <n v="2198"/>
    <n v="28"/>
    <n v="1.7"/>
    <n v="4.0999999999999996"/>
    <x v="3"/>
    <x v="3"/>
    <s v="Snacks"/>
    <s v="7.3"/>
    <s v="No"/>
    <n v="0.45375333333333334"/>
  </r>
  <r>
    <x v="41"/>
    <x v="6"/>
    <n v="6986"/>
    <n v="25"/>
    <n v="1.8"/>
    <n v="5.5"/>
    <x v="2"/>
    <x v="4"/>
    <s v="Healthy"/>
    <s v="3.3"/>
    <s v="Yes"/>
    <n v="0.6802733333333334"/>
  </r>
  <r>
    <x v="42"/>
    <x v="5"/>
    <n v="6661"/>
    <n v="67"/>
    <n v="0.7"/>
    <n v="6.7"/>
    <x v="1"/>
    <x v="1"/>
    <s v="Mixed"/>
    <s v="4.1"/>
    <s v="No"/>
    <n v="0.72727333333333333"/>
  </r>
  <r>
    <x v="43"/>
    <x v="1"/>
    <n v="4039"/>
    <n v="26"/>
    <n v="0.8"/>
    <n v="4.4000000000000004"/>
    <x v="1"/>
    <x v="6"/>
    <s v="Healthy"/>
    <s v="5.9"/>
    <s v="No"/>
    <n v="0.43822666666666671"/>
  </r>
  <r>
    <x v="44"/>
    <x v="0"/>
    <n v="12078"/>
    <n v="17"/>
    <n v="1.6"/>
    <n v="5.9"/>
    <x v="1"/>
    <x v="5"/>
    <s v="Healthy"/>
    <s v="6.7"/>
    <s v="No"/>
    <n v="0.84728666666666663"/>
  </r>
  <r>
    <x v="45"/>
    <x v="3"/>
    <n v="8088"/>
    <n v="117"/>
    <n v="0.5"/>
    <n v="6.1"/>
    <x v="1"/>
    <x v="5"/>
    <s v="Mixed"/>
    <s v="400040007.34"/>
    <s v="Yes"/>
    <n v="0.91602000000000006"/>
  </r>
  <r>
    <x v="46"/>
    <x v="6"/>
    <n v="8119"/>
    <n v="81"/>
    <n v="0.9"/>
    <n v="7.2"/>
    <x v="2"/>
    <x v="4"/>
    <s v="Home4000Cooked"/>
    <s v="6.2"/>
    <s v="No"/>
    <n v="0.86475999999999997"/>
  </r>
  <r>
    <x v="47"/>
    <x v="7"/>
    <n v="4000"/>
    <n v="15"/>
    <n v="2.9"/>
    <n v="8.9"/>
    <x v="3"/>
    <x v="3"/>
    <s v="Healthy"/>
    <s v="4.9"/>
    <s v="Yes"/>
    <n v="0.72250000000000003"/>
  </r>
  <r>
    <x v="48"/>
    <x v="0"/>
    <n v="13204"/>
    <n v="27"/>
    <n v="1"/>
    <n v="5.0999999999999996"/>
    <x v="1"/>
    <x v="6"/>
    <s v="Fast4000Food"/>
    <s v="3.1"/>
    <s v="Yes"/>
    <n v="0.84565999999999997"/>
  </r>
  <r>
    <x v="49"/>
    <x v="5"/>
    <n v="2853"/>
    <n v="105"/>
    <n v="0.7"/>
    <n v="6"/>
    <x v="1"/>
    <x v="4"/>
    <s v="Home4000Cooked"/>
    <s v="1.7"/>
    <s v="Yes"/>
    <n v="0.68411999999999995"/>
  </r>
  <r>
    <x v="50"/>
    <x v="4"/>
    <n v="2039"/>
    <n v="101"/>
    <n v="1.6"/>
    <n v="5.3"/>
    <x v="2"/>
    <x v="6"/>
    <s v="Mixed"/>
    <s v="4.2"/>
    <s v="Yes"/>
    <n v="0.71072666666666673"/>
  </r>
  <r>
    <x v="51"/>
    <x v="7"/>
    <n v="12648"/>
    <n v="55"/>
    <n v="0.7"/>
    <n v="8.6999999999999993"/>
    <x v="1"/>
    <x v="4"/>
    <s v="Home4000Cooked"/>
    <s v="3.9"/>
    <s v="Yes"/>
    <n v="0.97675333333333336"/>
  </r>
  <r>
    <x v="52"/>
    <x v="1"/>
    <n v="6624"/>
    <n v="42"/>
    <n v="2.8"/>
    <n v="6.4"/>
    <x v="3"/>
    <x v="3"/>
    <s v="Mixed"/>
    <s v="7.9"/>
    <s v="No"/>
    <n v="0.84495999999999993"/>
  </r>
  <r>
    <x v="53"/>
    <x v="5"/>
    <n v="5500"/>
    <n v="107"/>
    <n v="0.6"/>
    <n v="4.7"/>
    <x v="1"/>
    <x v="0"/>
    <s v="Home4000Cooked"/>
    <s v="1.1"/>
    <s v="No"/>
    <n v="0.75416666666666665"/>
  </r>
  <r>
    <x v="54"/>
    <x v="3"/>
    <n v="8690"/>
    <n v="110"/>
    <n v="2.7"/>
    <n v="7.8"/>
    <x v="1"/>
    <x v="0"/>
    <s v="Snacks"/>
    <s v="3.6"/>
    <s v="Yes"/>
    <n v="0.86072266666666675"/>
  </r>
  <r>
    <x v="55"/>
    <x v="3"/>
    <n v="6044"/>
    <n v="113"/>
    <n v="2.4"/>
    <n v="5.8"/>
    <x v="3"/>
    <x v="2"/>
    <s v="Fast4000Food"/>
    <s v="1.8"/>
    <s v="Yes"/>
    <n v="1.0034266666666667"/>
  </r>
  <r>
    <x v="56"/>
    <x v="4"/>
    <n v="4000"/>
    <n v="117"/>
    <n v="2.2000000000000002"/>
    <n v="8.4"/>
    <x v="3"/>
    <x v="6"/>
    <s v="Healthy"/>
    <s v="3.8"/>
    <s v="Yes"/>
    <n v="0.98"/>
  </r>
  <r>
    <x v="57"/>
    <x v="1"/>
    <n v="6030"/>
    <n v="112"/>
    <n v="0.9"/>
    <n v="4.0999999999999996"/>
    <x v="0"/>
    <x v="2"/>
    <s v="Home4000Cooked"/>
    <s v="3.5"/>
    <s v="No"/>
    <n v="0.80703333333333338"/>
  </r>
  <r>
    <x v="58"/>
    <x v="1"/>
    <n v="5761"/>
    <n v="106"/>
    <n v="2.9"/>
    <n v="6"/>
    <x v="0"/>
    <x v="3"/>
    <s v="Home4000Cooked"/>
    <s v="5.4"/>
    <s v="Yes"/>
    <n v="1.0237733333333332"/>
  </r>
  <r>
    <x v="59"/>
    <x v="2"/>
    <n v="8850"/>
    <n v="89"/>
    <n v="1"/>
    <n v="4.7"/>
    <x v="1"/>
    <x v="4"/>
    <s v="Fast4000Food"/>
    <s v="5.5"/>
    <s v="No"/>
    <n v="0.86816666666666675"/>
  </r>
  <r>
    <x v="60"/>
    <x v="3"/>
    <n v="11661"/>
    <n v="70"/>
    <n v="1.1000000000000001"/>
    <n v="4.2"/>
    <x v="1"/>
    <x v="0"/>
    <s v="Home4000Cooked"/>
    <s v="2.2"/>
    <s v="No"/>
    <n v="0.91477333333333333"/>
  </r>
  <r>
    <x v="61"/>
    <x v="6"/>
    <n v="3893"/>
    <n v="55"/>
    <n v="1.6"/>
    <n v="6.5"/>
    <x v="3"/>
    <x v="4"/>
    <s v="Healthy"/>
    <s v="5.8"/>
    <s v="No"/>
    <n v="0.66155333333333333"/>
  </r>
  <r>
    <x v="62"/>
    <x v="3"/>
    <n v="4378"/>
    <n v="57"/>
    <n v="0.7"/>
    <n v="5.4"/>
    <x v="3"/>
    <x v="4"/>
    <s v="Fast4000Food"/>
    <s v="6.6"/>
    <s v="No"/>
    <n v="0.57011999999999996"/>
  </r>
  <r>
    <x v="63"/>
    <x v="7"/>
    <n v="14261"/>
    <n v="37"/>
    <n v="1.6"/>
    <n v="6.3"/>
    <x v="1"/>
    <x v="4"/>
    <s v="Healthy"/>
    <s v="6.2"/>
    <s v="No"/>
    <n v="1.0112733333333335"/>
  </r>
  <r>
    <x v="64"/>
    <x v="5"/>
    <n v="7370"/>
    <n v="118"/>
    <n v="3.1"/>
    <n v="5.8"/>
    <x v="3"/>
    <x v="2"/>
    <s v="Healthy"/>
    <s v="3.8"/>
    <s v="Yes"/>
    <n v="1.1431333333333333"/>
  </r>
  <r>
    <x v="65"/>
    <x v="2"/>
    <n v="7729"/>
    <n v="99"/>
    <n v="2.1"/>
    <n v="5.2"/>
    <x v="3"/>
    <x v="1"/>
    <s v="Healthy"/>
    <s v="3.4"/>
    <s v="Yes"/>
    <n v="0.97916000000000003"/>
  </r>
  <r>
    <x v="66"/>
    <x v="7"/>
    <n v="11185"/>
    <n v="43"/>
    <n v="2.2000000000000002"/>
    <n v="6.9"/>
    <x v="0"/>
    <x v="1"/>
    <s v="Mixed"/>
    <s v="5"/>
    <s v="No"/>
    <n v="0.9832333333333334"/>
  </r>
  <r>
    <x v="67"/>
    <x v="5"/>
    <n v="12054"/>
    <n v="118"/>
    <n v="1.5"/>
    <n v="8.6999999999999993"/>
    <x v="3"/>
    <x v="6"/>
    <s v="Mixed"/>
    <s v="1.1"/>
    <s v="Yes"/>
    <n v="1.2429933333333332"/>
  </r>
  <r>
    <x v="68"/>
    <x v="6"/>
    <n v="12089"/>
    <n v="104"/>
    <n v="0.7"/>
    <n v="8.1999999999999993"/>
    <x v="3"/>
    <x v="1"/>
    <s v="Snacks"/>
    <s v="1.4"/>
    <s v="Yes"/>
    <n v="1.1052266666666668"/>
  </r>
  <r>
    <x v="69"/>
    <x v="6"/>
    <n v="13862"/>
    <n v="13"/>
    <n v="0.5"/>
    <n v="8.9"/>
    <x v="2"/>
    <x v="5"/>
    <s v="Healthy"/>
    <s v="4.4"/>
    <s v="Yes"/>
    <n v="0.87031333333333349"/>
  </r>
  <r>
    <x v="70"/>
    <x v="5"/>
    <n v="7816"/>
    <n v="53"/>
    <n v="1.1000000000000001"/>
    <n v="8.8000000000000007"/>
    <x v="0"/>
    <x v="0"/>
    <s v="Home4000Cooked"/>
    <s v="6"/>
    <s v="Yes"/>
    <n v="0.81930666666666674"/>
  </r>
  <r>
    <x v="71"/>
    <x v="2"/>
    <n v="11265"/>
    <n v="46"/>
    <n v="2"/>
    <n v="8.6999999999999993"/>
    <x v="2"/>
    <x v="5"/>
    <s v="Home4000Cooked"/>
    <s v="3.2"/>
    <s v="No"/>
    <n v="1.0214333333333334"/>
  </r>
  <r>
    <x v="72"/>
    <x v="2"/>
    <n v="8541"/>
    <n v="22"/>
    <n v="2.6"/>
    <n v="4.4000000000000004"/>
    <x v="3"/>
    <x v="0"/>
    <s v="Fast4000Food"/>
    <s v="2"/>
    <s v="Yes"/>
    <n v="0.7849733333333333"/>
  </r>
  <r>
    <x v="73"/>
    <x v="3"/>
    <n v="10810"/>
    <n v="58"/>
    <n v="3.1"/>
    <n v="7.7"/>
    <x v="2"/>
    <x v="3"/>
    <s v="Fast4000Food"/>
    <s v="3.9"/>
    <s v="No"/>
    <n v="1.1282333333333334"/>
  </r>
  <r>
    <x v="74"/>
    <x v="5"/>
    <n v="4891"/>
    <n v="31"/>
    <n v="0.6"/>
    <n v="7.9"/>
    <x v="3"/>
    <x v="5"/>
    <s v="Snacks"/>
    <s v="6.8"/>
    <s v="No"/>
    <n v="0.55647333333333338"/>
  </r>
  <r>
    <x v="75"/>
    <x v="4"/>
    <n v="1577"/>
    <n v="35"/>
    <n v="3.2"/>
    <n v="5.6"/>
    <x v="1"/>
    <x v="0"/>
    <s v="Healthy"/>
    <s v="5.1"/>
    <s v="Yes"/>
    <n v="0.63974666666666669"/>
  </r>
  <r>
    <x v="76"/>
    <x v="5"/>
    <n v="7484"/>
    <n v="32"/>
    <n v="0.5"/>
    <n v="6.9"/>
    <x v="0"/>
    <x v="2"/>
    <s v="Fast4000Food"/>
    <s v="3.5"/>
    <s v="Yes"/>
    <n v="0.62852666666666679"/>
  </r>
  <r>
    <x v="77"/>
    <x v="6"/>
    <n v="9889"/>
    <n v="15"/>
    <n v="1.5"/>
    <n v="7.7"/>
    <x v="1"/>
    <x v="1"/>
    <s v="Healthy"/>
    <s v="5.9"/>
    <s v="No"/>
    <n v="0.78806000000000009"/>
  </r>
  <r>
    <x v="78"/>
    <x v="0"/>
    <n v="3704"/>
    <n v="47"/>
    <n v="2.8"/>
    <n v="7.5"/>
    <x v="3"/>
    <x v="5"/>
    <s v="Mixed"/>
    <s v="6.5"/>
    <s v="No"/>
    <n v="0.77232666666666661"/>
  </r>
  <r>
    <x v="79"/>
    <x v="2"/>
    <n v="14929"/>
    <n v="47"/>
    <n v="2.1"/>
    <n v="5.9"/>
    <x v="3"/>
    <x v="5"/>
    <s v="Fast4000Food"/>
    <s v="4.2"/>
    <s v="No"/>
    <n v="1.1113266666666666"/>
  </r>
  <r>
    <x v="80"/>
    <x v="3"/>
    <n v="5256"/>
    <n v="11"/>
    <n v="0.5"/>
    <n v="7"/>
    <x v="0"/>
    <x v="2"/>
    <s v="Snacks"/>
    <s v="5"/>
    <s v="No"/>
    <n v="0.47190666666666664"/>
  </r>
  <r>
    <x v="81"/>
    <x v="4"/>
    <n v="12897"/>
    <n v="81"/>
    <n v="1.8"/>
    <n v="5.4"/>
    <x v="0"/>
    <x v="6"/>
    <s v="Fast4000Food"/>
    <s v="5.3"/>
    <s v="Yes"/>
    <n v="1.1008800000000001"/>
  </r>
  <r>
    <x v="82"/>
    <x v="1"/>
    <n v="12422"/>
    <n v="85"/>
    <n v="0.8"/>
    <n v="8.6"/>
    <x v="3"/>
    <x v="0"/>
    <s v="Mixed"/>
    <s v="400040006.54"/>
    <s v="Yes"/>
    <n v="1.0752133333333334"/>
  </r>
  <r>
    <x v="83"/>
    <x v="4"/>
    <n v="5646"/>
    <n v="38"/>
    <n v="0.8"/>
    <n v="8.1999999999999993"/>
    <x v="3"/>
    <x v="2"/>
    <s v="Mixed"/>
    <s v="7.4"/>
    <s v="No"/>
    <n v="0.63750666666666667"/>
  </r>
  <r>
    <x v="84"/>
    <x v="4"/>
    <n v="4572"/>
    <n v="72"/>
    <n v="1.4"/>
    <n v="5.0999999999999996"/>
    <x v="3"/>
    <x v="3"/>
    <s v="Fast4000Food"/>
    <s v="5.3"/>
    <s v="Yes"/>
    <n v="0.6903800000000001"/>
  </r>
  <r>
    <x v="85"/>
    <x v="4"/>
    <n v="9470"/>
    <n v="72"/>
    <n v="1.7"/>
    <n v="8.3000000000000007"/>
    <x v="1"/>
    <x v="3"/>
    <s v="Snacks"/>
    <s v="400040007.54"/>
    <s v="Yes"/>
    <n v="0.99630000000000007"/>
  </r>
  <r>
    <x v="86"/>
    <x v="7"/>
    <n v="14550"/>
    <n v="60"/>
    <n v="1.2"/>
    <n v="6.9"/>
    <x v="1"/>
    <x v="3"/>
    <s v="Home4000Cooked"/>
    <s v="2.2"/>
    <s v="Yes"/>
    <n v="1.0745"/>
  </r>
  <r>
    <x v="87"/>
    <x v="0"/>
    <n v="7088"/>
    <n v="58"/>
    <n v="1"/>
    <n v="8.8000000000000007"/>
    <x v="1"/>
    <x v="4"/>
    <s v="Fast4000Food"/>
    <s v="2"/>
    <s v="No"/>
    <n v="0.7968533333333333"/>
  </r>
  <r>
    <x v="88"/>
    <x v="1"/>
    <n v="12904"/>
    <n v="103"/>
    <n v="0.5"/>
    <n v="5"/>
    <x v="1"/>
    <x v="1"/>
    <s v="Snacks"/>
    <s v="7.3"/>
    <s v="No"/>
    <n v="1.0344933333333335"/>
  </r>
  <r>
    <x v="89"/>
    <x v="4"/>
    <n v="3565"/>
    <n v="10"/>
    <n v="2.8"/>
    <n v="6.3"/>
    <x v="3"/>
    <x v="1"/>
    <s v="Fast4000Food"/>
    <s v="4.7"/>
    <s v="No"/>
    <n v="0.61343333333333327"/>
  </r>
  <r>
    <x v="90"/>
    <x v="3"/>
    <n v="13842"/>
    <n v="112"/>
    <n v="2.8"/>
    <n v="5.4"/>
    <x v="3"/>
    <x v="5"/>
    <s v="Healthy"/>
    <s v="7.3"/>
    <s v="Yes"/>
    <n v="1.3420133333333335"/>
  </r>
  <r>
    <x v="91"/>
    <x v="2"/>
    <n v="12771"/>
    <n v="74"/>
    <n v="2.2000000000000002"/>
    <n v="5.3"/>
    <x v="3"/>
    <x v="6"/>
    <s v="Mixed"/>
    <s v="2.4"/>
    <s v="No"/>
    <n v="1.1100066666666666"/>
  </r>
  <r>
    <x v="92"/>
    <x v="6"/>
    <n v="5175"/>
    <n v="17"/>
    <n v="0.8"/>
    <n v="5.2"/>
    <x v="2"/>
    <x v="5"/>
    <s v="Snacks"/>
    <s v="6.1"/>
    <s v="Yes"/>
    <n v="0.47366666666666668"/>
  </r>
  <r>
    <x v="93"/>
    <x v="5"/>
    <n v="2322"/>
    <n v="57"/>
    <n v="0.8"/>
    <n v="7.2"/>
    <x v="3"/>
    <x v="0"/>
    <s v="Fast4000Food"/>
    <s v="6.2"/>
    <s v="No"/>
    <n v="0.54288000000000003"/>
  </r>
  <r>
    <x v="94"/>
    <x v="3"/>
    <n v="4000"/>
    <n v="56"/>
    <n v="2.4"/>
    <n v="5.7"/>
    <x v="3"/>
    <x v="6"/>
    <s v="Mixed"/>
    <s v="6.8"/>
    <s v="Yes"/>
    <n v="0.72916666666666674"/>
  </r>
  <r>
    <x v="95"/>
    <x v="2"/>
    <n v="14692"/>
    <n v="107"/>
    <n v="3.1"/>
    <n v="5.0999999999999996"/>
    <x v="1"/>
    <x v="2"/>
    <s v="Snacks"/>
    <s v="7.8"/>
    <s v="No"/>
    <n v="1.3818466666666669"/>
  </r>
  <r>
    <x v="96"/>
    <x v="7"/>
    <n v="6331"/>
    <n v="90"/>
    <n v="2"/>
    <n v="6.6"/>
    <x v="3"/>
    <x v="3"/>
    <s v="Fast4000Food"/>
    <s v="6.2"/>
    <s v="No"/>
    <n v="0.91824000000000017"/>
  </r>
  <r>
    <x v="97"/>
    <x v="5"/>
    <n v="8309"/>
    <n v="67"/>
    <n v="3.2"/>
    <n v="7.5"/>
    <x v="3"/>
    <x v="3"/>
    <s v="Snacks"/>
    <s v="400040005.84"/>
    <s v="Yes"/>
    <n v="1.0631933333333334"/>
  </r>
  <r>
    <x v="98"/>
    <x v="0"/>
    <n v="7296"/>
    <n v="34"/>
    <n v="2"/>
    <n v="7.6"/>
    <x v="3"/>
    <x v="1"/>
    <s v="Mixed"/>
    <s v="1.7"/>
    <s v="Yes"/>
    <n v="0.79517333333333329"/>
  </r>
  <r>
    <x v="99"/>
    <x v="6"/>
    <n v="7636"/>
    <n v="62"/>
    <n v="0.5"/>
    <n v="8.6"/>
    <x v="0"/>
    <x v="2"/>
    <s v="Healthy"/>
    <s v="3.9"/>
    <s v="Yes"/>
    <n v="0.77710666666666672"/>
  </r>
  <r>
    <x v="100"/>
    <x v="6"/>
    <n v="4366"/>
    <n v="62"/>
    <n v="2.2999999999999998"/>
    <n v="5.2"/>
    <x v="0"/>
    <x v="6"/>
    <s v="Fast4000Food"/>
    <s v="3.7"/>
    <s v="No"/>
    <n v="0.74130666666666667"/>
  </r>
  <r>
    <x v="101"/>
    <x v="4"/>
    <n v="4000"/>
    <n v="64"/>
    <n v="2.5"/>
    <n v="8.6999999999999993"/>
    <x v="0"/>
    <x v="6"/>
    <s v="Fast4000Food"/>
    <s v="400040006.14"/>
    <s v="No"/>
    <n v="0.84083333333333343"/>
  </r>
  <r>
    <x v="102"/>
    <x v="7"/>
    <n v="8601"/>
    <n v="118"/>
    <n v="1"/>
    <n v="7.1"/>
    <x v="2"/>
    <x v="4"/>
    <s v="Mixed"/>
    <s v="4.3"/>
    <s v="Yes"/>
    <n v="1.0148733333333333"/>
  </r>
  <r>
    <x v="103"/>
    <x v="1"/>
    <n v="4000"/>
    <n v="48"/>
    <n v="0.7"/>
    <n v="4.4000000000000004"/>
    <x v="2"/>
    <x v="1"/>
    <s v="Mixed"/>
    <s v="1"/>
    <s v="Yes"/>
    <n v="0.5"/>
  </r>
  <r>
    <x v="104"/>
    <x v="2"/>
    <n v="8460"/>
    <n v="70"/>
    <n v="2.9"/>
    <n v="7.5"/>
    <x v="3"/>
    <x v="0"/>
    <s v="Fast4000Food"/>
    <s v="4.6"/>
    <s v="Yes"/>
    <n v="1.0492333333333335"/>
  </r>
  <r>
    <x v="105"/>
    <x v="3"/>
    <n v="6306"/>
    <n v="26"/>
    <n v="1"/>
    <n v="6.8"/>
    <x v="2"/>
    <x v="6"/>
    <s v="Snacks"/>
    <s v="7.4"/>
    <s v="Yes"/>
    <n v="0.60890666666666671"/>
  </r>
  <r>
    <x v="106"/>
    <x v="5"/>
    <n v="14514"/>
    <n v="102"/>
    <n v="0.5"/>
    <n v="8.3000000000000007"/>
    <x v="0"/>
    <x v="2"/>
    <s v="Snacks"/>
    <s v="6.9"/>
    <s v="No"/>
    <n v="1.1780600000000001"/>
  </r>
  <r>
    <x v="107"/>
    <x v="2"/>
    <n v="9480"/>
    <n v="107"/>
    <n v="3.2"/>
    <n v="6.7"/>
    <x v="2"/>
    <x v="0"/>
    <s v="Snacks"/>
    <s v="4.1"/>
    <s v="No"/>
    <n v="1.2233666666666667"/>
  </r>
  <r>
    <x v="108"/>
    <x v="2"/>
    <n v="5310"/>
    <n v="48"/>
    <n v="0.5"/>
    <n v="4.3"/>
    <x v="2"/>
    <x v="3"/>
    <s v="Fast4000Food"/>
    <s v="1.6"/>
    <s v="Yes"/>
    <n v="0.52990000000000004"/>
  </r>
  <r>
    <x v="109"/>
    <x v="4"/>
    <n v="8569"/>
    <n v="34"/>
    <n v="1.5"/>
    <n v="6.6"/>
    <x v="1"/>
    <x v="2"/>
    <s v="Snacks"/>
    <s v="6.1"/>
    <s v="No"/>
    <n v="0.77109333333333341"/>
  </r>
  <r>
    <x v="110"/>
    <x v="3"/>
    <n v="5888"/>
    <n v="34"/>
    <n v="1.3"/>
    <n v="8.6"/>
    <x v="3"/>
    <x v="2"/>
    <s v="Home4000Cooked"/>
    <s v="1.3"/>
    <s v="No"/>
    <n v="0.69385333333333332"/>
  </r>
  <r>
    <x v="111"/>
    <x v="6"/>
    <n v="13760"/>
    <n v="52"/>
    <n v="2.2999999999999998"/>
    <n v="8.9"/>
    <x v="2"/>
    <x v="2"/>
    <s v="Home4000Cooked"/>
    <s v="400040007.24"/>
    <s v="Yes"/>
    <n v="1.1762333333333332"/>
  </r>
  <r>
    <x v="112"/>
    <x v="7"/>
    <n v="9327"/>
    <n v="102"/>
    <n v="2.4"/>
    <n v="7"/>
    <x v="0"/>
    <x v="6"/>
    <s v="Fast4000Food"/>
    <s v="4.6"/>
    <s v="Yes"/>
    <n v="1.1280800000000002"/>
  </r>
  <r>
    <x v="113"/>
    <x v="8"/>
    <m/>
    <m/>
    <m/>
    <m/>
    <x v="4"/>
    <x v="7"/>
    <m/>
    <m/>
    <m/>
    <n v="0"/>
  </r>
  <r>
    <x v="113"/>
    <x v="8"/>
    <m/>
    <m/>
    <m/>
    <m/>
    <x v="4"/>
    <x v="7"/>
    <m/>
    <m/>
    <m/>
    <m/>
  </r>
  <r>
    <x v="113"/>
    <x v="8"/>
    <m/>
    <m/>
    <m/>
    <m/>
    <x v="4"/>
    <x v="7"/>
    <m/>
    <m/>
    <m/>
    <m/>
  </r>
  <r>
    <x v="113"/>
    <x v="8"/>
    <m/>
    <m/>
    <m/>
    <m/>
    <x v="4"/>
    <x v="7"/>
    <m/>
    <m/>
    <m/>
    <m/>
  </r>
  <r>
    <x v="113"/>
    <x v="8"/>
    <m/>
    <m/>
    <m/>
    <m/>
    <x v="4"/>
    <x v="7"/>
    <m/>
    <m/>
    <m/>
    <m/>
  </r>
  <r>
    <x v="113"/>
    <x v="8"/>
    <m/>
    <m/>
    <m/>
    <m/>
    <x v="4"/>
    <x v="7"/>
    <m/>
    <m/>
    <m/>
    <m/>
  </r>
  <r>
    <x v="113"/>
    <x v="8"/>
    <m/>
    <m/>
    <m/>
    <m/>
    <x v="4"/>
    <x v="7"/>
    <m/>
    <m/>
    <m/>
    <m/>
  </r>
  <r>
    <x v="113"/>
    <x v="8"/>
    <m/>
    <m/>
    <m/>
    <m/>
    <x v="4"/>
    <x v="7"/>
    <m/>
    <m/>
    <m/>
    <m/>
  </r>
  <r>
    <x v="113"/>
    <x v="8"/>
    <m/>
    <m/>
    <m/>
    <m/>
    <x v="4"/>
    <x v="7"/>
    <m/>
    <m/>
    <m/>
    <m/>
  </r>
  <r>
    <x v="113"/>
    <x v="8"/>
    <m/>
    <m/>
    <m/>
    <m/>
    <x v="4"/>
    <x v="7"/>
    <m/>
    <m/>
    <m/>
    <m/>
  </r>
  <r>
    <x v="113"/>
    <x v="8"/>
    <m/>
    <m/>
    <m/>
    <m/>
    <x v="4"/>
    <x v="7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 chartFormat="1">
  <location ref="A3:A4" firstHeaderRow="1" firstDataRow="1" firstDataCol="0"/>
  <pivotFields count="12">
    <pivotField compact="0" outline="0" showAll="0">
      <items count="115">
        <item x="1"/>
        <item x="86"/>
        <item x="32"/>
        <item x="5"/>
        <item x="35"/>
        <item x="7"/>
        <item x="61"/>
        <item x="63"/>
        <item x="10"/>
        <item x="40"/>
        <item x="68"/>
        <item x="43"/>
        <item x="18"/>
        <item x="72"/>
        <item x="104"/>
        <item x="105"/>
        <item x="50"/>
        <item x="108"/>
        <item x="26"/>
        <item x="53"/>
        <item x="109"/>
        <item x="82"/>
        <item x="0"/>
        <item x="2"/>
        <item x="3"/>
        <item x="4"/>
        <item x="6"/>
        <item x="8"/>
        <item x="9"/>
        <item x="11"/>
        <item x="12"/>
        <item x="13"/>
        <item x="14"/>
        <item x="15"/>
        <item x="16"/>
        <item x="17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33"/>
        <item x="34"/>
        <item x="36"/>
        <item x="37"/>
        <item x="38"/>
        <item x="39"/>
        <item x="41"/>
        <item x="42"/>
        <item x="44"/>
        <item x="45"/>
        <item x="46"/>
        <item x="47"/>
        <item x="48"/>
        <item x="49"/>
        <item x="51"/>
        <item x="52"/>
        <item x="54"/>
        <item x="55"/>
        <item x="56"/>
        <item x="57"/>
        <item x="58"/>
        <item x="59"/>
        <item x="60"/>
        <item x="62"/>
        <item x="64"/>
        <item x="65"/>
        <item x="66"/>
        <item x="67"/>
        <item x="69"/>
        <item x="70"/>
        <item x="71"/>
        <item x="73"/>
        <item x="74"/>
        <item x="75"/>
        <item x="76"/>
        <item x="77"/>
        <item x="78"/>
        <item x="79"/>
        <item x="80"/>
        <item x="81"/>
        <item x="83"/>
        <item x="84"/>
        <item x="85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6"/>
        <item x="107"/>
        <item x="110"/>
        <item x="111"/>
        <item x="112"/>
        <item x="1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6">
        <item x="2"/>
        <item x="0"/>
        <item x="1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dataFields count="1">
    <dataField name="Count of Sleep_Quality" fld="6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 chartFormat="1">
  <location ref="A3:B12" firstHeaderRow="1" firstDataRow="1" firstDataCol="1"/>
  <pivotFields count="12">
    <pivotField compact="0" outline="0" showAll="0">
      <items count="115">
        <item x="1"/>
        <item x="86"/>
        <item x="32"/>
        <item x="5"/>
        <item x="35"/>
        <item x="7"/>
        <item x="61"/>
        <item x="63"/>
        <item x="10"/>
        <item x="40"/>
        <item x="68"/>
        <item x="43"/>
        <item x="18"/>
        <item x="72"/>
        <item x="104"/>
        <item x="105"/>
        <item x="50"/>
        <item x="108"/>
        <item x="26"/>
        <item x="53"/>
        <item x="109"/>
        <item x="82"/>
        <item x="0"/>
        <item x="2"/>
        <item x="3"/>
        <item x="4"/>
        <item x="6"/>
        <item x="8"/>
        <item x="9"/>
        <item x="11"/>
        <item x="12"/>
        <item x="13"/>
        <item x="14"/>
        <item x="15"/>
        <item x="16"/>
        <item x="17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33"/>
        <item x="34"/>
        <item x="36"/>
        <item x="37"/>
        <item x="38"/>
        <item x="39"/>
        <item x="41"/>
        <item x="42"/>
        <item x="44"/>
        <item x="45"/>
        <item x="46"/>
        <item x="47"/>
        <item x="48"/>
        <item x="49"/>
        <item x="51"/>
        <item x="52"/>
        <item x="54"/>
        <item x="55"/>
        <item x="56"/>
        <item x="57"/>
        <item x="58"/>
        <item x="59"/>
        <item x="60"/>
        <item x="62"/>
        <item x="64"/>
        <item x="65"/>
        <item x="66"/>
        <item x="67"/>
        <item x="69"/>
        <item x="70"/>
        <item x="71"/>
        <item x="73"/>
        <item x="74"/>
        <item x="75"/>
        <item x="76"/>
        <item x="77"/>
        <item x="78"/>
        <item x="79"/>
        <item x="80"/>
        <item x="81"/>
        <item x="83"/>
        <item x="84"/>
        <item x="85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6"/>
        <item x="107"/>
        <item x="110"/>
        <item x="111"/>
        <item x="112"/>
        <item x="1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9">
        <item x="4"/>
        <item x="6"/>
        <item x="1"/>
        <item x="2"/>
        <item x="0"/>
        <item x="5"/>
        <item x="3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Mood" fld="7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>
  <location ref="A3:B118" firstHeaderRow="1" firstDataRow="1" firstDataCol="1"/>
  <pivotFields count="12">
    <pivotField axis="axisRow" compact="0" outline="0" showAll="0">
      <items count="115">
        <item x="1"/>
        <item x="86"/>
        <item x="32"/>
        <item x="5"/>
        <item x="35"/>
        <item x="7"/>
        <item x="61"/>
        <item x="63"/>
        <item x="10"/>
        <item x="40"/>
        <item x="68"/>
        <item x="43"/>
        <item x="18"/>
        <item x="72"/>
        <item x="104"/>
        <item x="105"/>
        <item x="50"/>
        <item x="108"/>
        <item x="26"/>
        <item x="53"/>
        <item x="109"/>
        <item x="82"/>
        <item x="0"/>
        <item x="2"/>
        <item x="3"/>
        <item x="4"/>
        <item x="6"/>
        <item x="8"/>
        <item x="9"/>
        <item x="11"/>
        <item x="12"/>
        <item x="13"/>
        <item x="14"/>
        <item x="15"/>
        <item x="16"/>
        <item x="17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33"/>
        <item x="34"/>
        <item x="36"/>
        <item x="37"/>
        <item x="38"/>
        <item x="39"/>
        <item x="41"/>
        <item x="42"/>
        <item x="44"/>
        <item x="45"/>
        <item x="46"/>
        <item x="47"/>
        <item x="48"/>
        <item x="49"/>
        <item x="51"/>
        <item x="52"/>
        <item x="54"/>
        <item x="55"/>
        <item x="56"/>
        <item x="57"/>
        <item x="58"/>
        <item x="59"/>
        <item x="60"/>
        <item x="62"/>
        <item x="64"/>
        <item x="65"/>
        <item x="66"/>
        <item x="67"/>
        <item x="69"/>
        <item x="70"/>
        <item x="71"/>
        <item x="73"/>
        <item x="74"/>
        <item x="75"/>
        <item x="76"/>
        <item x="77"/>
        <item x="78"/>
        <item x="79"/>
        <item x="80"/>
        <item x="81"/>
        <item x="83"/>
        <item x="84"/>
        <item x="85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6"/>
        <item x="107"/>
        <item x="110"/>
        <item x="111"/>
        <item x="112"/>
        <item x="113"/>
        <item t="default"/>
      </items>
    </pivotField>
    <pivotField compact="0" outline="0" showAll="0">
      <items count="10">
        <item x="6"/>
        <item x="7"/>
        <item x="2"/>
        <item x="4"/>
        <item x="0"/>
        <item x="5"/>
        <item x="3"/>
        <item x="1"/>
        <item x="8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1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 t="grand">
      <x/>
    </i>
  </rowItems>
  <colItems count="1">
    <i/>
  </colItems>
  <dataFields count="1">
    <dataField name="Sum of Steps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workbookViewId="0">
      <selection activeCell="H6" sqref="H6"/>
    </sheetView>
  </sheetViews>
  <sheetFormatPr defaultColWidth="9" defaultRowHeight="16.8" outlineLevelCol="3"/>
  <cols>
    <col min="1" max="1" width="31.2884615384615" style="9" customWidth="1"/>
    <col min="2" max="2" width="45.5673076923077" style="9" customWidth="1"/>
    <col min="3" max="3" width="7.85576923076923" style="10" customWidth="1"/>
    <col min="4" max="4" width="61.1442307692308" style="9" customWidth="1"/>
    <col min="5" max="16384" width="9.14423076923077" style="9"/>
  </cols>
  <sheetData>
    <row r="1" s="8" customFormat="1" spans="1:4">
      <c r="A1" s="11" t="s">
        <v>0</v>
      </c>
      <c r="B1" s="11" t="s">
        <v>1</v>
      </c>
      <c r="C1" s="12" t="s">
        <v>2</v>
      </c>
      <c r="D1" s="11" t="s">
        <v>3</v>
      </c>
    </row>
    <row r="2" spans="1:4">
      <c r="A2" s="13" t="s">
        <v>4</v>
      </c>
      <c r="B2" s="9" t="s">
        <v>5</v>
      </c>
      <c r="C2" s="10" t="b">
        <v>1</v>
      </c>
      <c r="D2" s="9" t="s">
        <v>6</v>
      </c>
    </row>
    <row r="3" ht="30" customHeight="1" spans="1:4">
      <c r="A3" s="13"/>
      <c r="B3" s="14" t="s">
        <v>7</v>
      </c>
      <c r="C3" s="15" t="b">
        <v>1</v>
      </c>
      <c r="D3" s="9" t="s">
        <v>8</v>
      </c>
    </row>
    <row r="4" spans="1:4">
      <c r="A4" s="13"/>
      <c r="B4" s="9" t="s">
        <v>9</v>
      </c>
      <c r="C4" s="15" t="b">
        <v>1</v>
      </c>
      <c r="D4" s="9" t="s">
        <v>10</v>
      </c>
    </row>
    <row r="5" ht="30" customHeight="1" spans="1:3">
      <c r="A5" s="13"/>
      <c r="B5" s="14" t="s">
        <v>11</v>
      </c>
      <c r="C5" s="15" t="b">
        <v>0</v>
      </c>
    </row>
    <row r="6" ht="45" customHeight="1" spans="1:4">
      <c r="A6" s="13"/>
      <c r="B6" s="16" t="s">
        <v>12</v>
      </c>
      <c r="C6" s="15" t="b">
        <v>1</v>
      </c>
      <c r="D6" s="9" t="s">
        <v>13</v>
      </c>
    </row>
    <row r="7" ht="60" customHeight="1" spans="1:4">
      <c r="A7" s="13"/>
      <c r="B7" s="14" t="s">
        <v>14</v>
      </c>
      <c r="C7" s="15" t="b">
        <v>1</v>
      </c>
      <c r="D7" s="9" t="s">
        <v>15</v>
      </c>
    </row>
    <row r="8" ht="30" customHeight="1" spans="1:4">
      <c r="A8" s="13"/>
      <c r="B8" s="14" t="s">
        <v>16</v>
      </c>
      <c r="C8" s="15" t="b">
        <v>1</v>
      </c>
      <c r="D8" s="17" t="s">
        <v>17</v>
      </c>
    </row>
    <row r="9" ht="17" spans="1:3">
      <c r="A9" s="13"/>
      <c r="B9" s="14" t="s">
        <v>18</v>
      </c>
      <c r="C9" s="15" t="b">
        <v>1</v>
      </c>
    </row>
    <row r="10" ht="75" customHeight="1" spans="1:4">
      <c r="A10" s="13"/>
      <c r="B10" s="14" t="s">
        <v>19</v>
      </c>
      <c r="C10" s="15" t="b">
        <v>1</v>
      </c>
      <c r="D10" s="17" t="s">
        <v>20</v>
      </c>
    </row>
    <row r="11" spans="2:4">
      <c r="B11" s="14"/>
      <c r="C11" s="15"/>
      <c r="D11" s="17"/>
    </row>
    <row r="12" ht="17" spans="1:4">
      <c r="A12" s="13" t="s">
        <v>21</v>
      </c>
      <c r="B12" s="14" t="s">
        <v>22</v>
      </c>
      <c r="C12" s="15" t="b">
        <v>1</v>
      </c>
      <c r="D12" s="9" t="s">
        <v>23</v>
      </c>
    </row>
    <row r="13" ht="17" spans="1:4">
      <c r="A13" s="13"/>
      <c r="B13" s="14" t="s">
        <v>24</v>
      </c>
      <c r="C13" s="15" t="b">
        <v>1</v>
      </c>
      <c r="D13" s="9" t="s">
        <v>25</v>
      </c>
    </row>
    <row r="14" ht="51" spans="1:3">
      <c r="A14" s="13"/>
      <c r="B14" s="16" t="s">
        <v>26</v>
      </c>
      <c r="C14" s="15" t="b">
        <v>1</v>
      </c>
    </row>
    <row r="15" ht="51" spans="1:3">
      <c r="A15" s="13"/>
      <c r="B15" s="16" t="s">
        <v>27</v>
      </c>
      <c r="C15" s="15" t="b">
        <v>1</v>
      </c>
    </row>
    <row r="16" ht="34" spans="1:4">
      <c r="A16" s="13"/>
      <c r="B16" s="14" t="s">
        <v>28</v>
      </c>
      <c r="C16" s="15" t="b">
        <v>1</v>
      </c>
      <c r="D16" s="18" t="s">
        <v>29</v>
      </c>
    </row>
    <row r="17" ht="51" spans="1:4">
      <c r="A17" s="13"/>
      <c r="B17" s="16" t="s">
        <v>30</v>
      </c>
      <c r="C17" s="15" t="b">
        <v>0</v>
      </c>
      <c r="D17" s="14" t="s">
        <v>31</v>
      </c>
    </row>
    <row r="19" ht="34" spans="1:4">
      <c r="A19" s="19" t="s">
        <v>32</v>
      </c>
      <c r="B19" s="16" t="s">
        <v>33</v>
      </c>
      <c r="C19" s="15" t="b">
        <v>1</v>
      </c>
      <c r="D19" s="9" t="s">
        <v>34</v>
      </c>
    </row>
    <row r="20" ht="34" spans="1:4">
      <c r="A20" s="19"/>
      <c r="B20" s="16" t="s">
        <v>35</v>
      </c>
      <c r="C20" s="15" t="b">
        <v>1</v>
      </c>
      <c r="D20" s="9" t="s">
        <v>36</v>
      </c>
    </row>
    <row r="21" ht="34" spans="1:4">
      <c r="A21" s="19"/>
      <c r="B21" s="16" t="s">
        <v>37</v>
      </c>
      <c r="C21" s="15" t="b">
        <v>1</v>
      </c>
      <c r="D21" s="9" t="s">
        <v>38</v>
      </c>
    </row>
    <row r="22" ht="34" spans="1:3">
      <c r="A22" s="19"/>
      <c r="B22" s="16" t="s">
        <v>39</v>
      </c>
      <c r="C22" s="15" t="b">
        <v>1</v>
      </c>
    </row>
    <row r="23" ht="34" spans="1:3">
      <c r="A23" s="19"/>
      <c r="B23" s="16" t="s">
        <v>40</v>
      </c>
      <c r="C23" s="15" t="b">
        <v>1</v>
      </c>
    </row>
    <row r="24" ht="34" spans="1:3">
      <c r="A24" s="19"/>
      <c r="B24" s="16" t="s">
        <v>41</v>
      </c>
      <c r="C24" s="15" t="b">
        <v>0</v>
      </c>
    </row>
  </sheetData>
  <mergeCells count="3">
    <mergeCell ref="A2:A10"/>
    <mergeCell ref="A12:A17"/>
    <mergeCell ref="A19:A2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5"/>
  <sheetViews>
    <sheetView workbookViewId="0">
      <selection activeCell="A1" sqref="A1"/>
    </sheetView>
  </sheetViews>
  <sheetFormatPr defaultColWidth="9" defaultRowHeight="16.8"/>
  <cols>
    <col min="1" max="1" width="11.7115384615385" style="2" customWidth="1"/>
    <col min="2" max="2" width="16.8557692307692" customWidth="1"/>
    <col min="3" max="3" width="6.56730769230769" customWidth="1"/>
    <col min="4" max="4" width="8.56730769230769" customWidth="1"/>
    <col min="5" max="5" width="12.8557692307692" customWidth="1"/>
    <col min="6" max="6" width="13" customWidth="1"/>
    <col min="7" max="7" width="14" customWidth="1"/>
    <col min="9" max="9" width="17.5673076923077" customWidth="1"/>
    <col min="10" max="10" width="20.1442307692308" customWidth="1"/>
    <col min="11" max="11" width="10.1442307692308" customWidth="1"/>
    <col min="12" max="12" width="13.5673076923077" style="3" customWidth="1"/>
  </cols>
  <sheetData>
    <row r="1" ht="17.6" spans="1:12">
      <c r="A1" s="4" t="s">
        <v>42</v>
      </c>
      <c r="B1" s="5" t="s">
        <v>43</v>
      </c>
      <c r="C1" s="5" t="s">
        <v>44</v>
      </c>
      <c r="D1" s="5" t="s">
        <v>45</v>
      </c>
      <c r="E1" s="5" t="s">
        <v>46</v>
      </c>
      <c r="F1" s="5" t="s">
        <v>47</v>
      </c>
      <c r="G1" s="5" t="s">
        <v>48</v>
      </c>
      <c r="H1" s="5" t="s">
        <v>49</v>
      </c>
      <c r="I1" s="5" t="s">
        <v>50</v>
      </c>
      <c r="J1" s="6" t="s">
        <v>51</v>
      </c>
      <c r="K1" s="5" t="s">
        <v>52</v>
      </c>
      <c r="L1" s="7" t="s">
        <v>53</v>
      </c>
    </row>
    <row r="2" spans="1:12">
      <c r="A2" s="2">
        <v>45658</v>
      </c>
      <c r="B2" t="s">
        <v>54</v>
      </c>
      <c r="C2">
        <v>8770</v>
      </c>
      <c r="D2">
        <v>61</v>
      </c>
      <c r="E2">
        <v>0.5</v>
      </c>
      <c r="F2">
        <v>7.7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s="3">
        <f t="shared" ref="L2:L55" si="0">(C2/10000*0.4)+(D2/60*0.2)+(F2/8*0.2)+(E2/2*0.2)</f>
        <v>0.796633333333333</v>
      </c>
    </row>
    <row r="3" spans="1:12">
      <c r="A3" s="2">
        <v>45689</v>
      </c>
      <c r="B3" t="s">
        <v>60</v>
      </c>
      <c r="C3">
        <v>9822</v>
      </c>
      <c r="D3">
        <v>31</v>
      </c>
      <c r="E3">
        <v>0.7</v>
      </c>
      <c r="F3">
        <v>7.6</v>
      </c>
      <c r="G3" t="s">
        <v>55</v>
      </c>
      <c r="H3" t="s">
        <v>56</v>
      </c>
      <c r="I3" t="s">
        <v>61</v>
      </c>
      <c r="J3" t="s">
        <v>62</v>
      </c>
      <c r="K3" t="s">
        <v>63</v>
      </c>
      <c r="L3" s="3">
        <f t="shared" si="0"/>
        <v>0.756213333333333</v>
      </c>
    </row>
    <row r="4" spans="1:12">
      <c r="A4" s="2">
        <v>45660</v>
      </c>
      <c r="B4" t="s">
        <v>64</v>
      </c>
      <c r="C4">
        <v>12596</v>
      </c>
      <c r="D4">
        <v>58</v>
      </c>
      <c r="E4">
        <v>2.1</v>
      </c>
      <c r="F4">
        <v>6</v>
      </c>
      <c r="G4" t="s">
        <v>55</v>
      </c>
      <c r="H4" t="s">
        <v>65</v>
      </c>
      <c r="I4" t="s">
        <v>66</v>
      </c>
      <c r="J4" t="s">
        <v>67</v>
      </c>
      <c r="K4" t="s">
        <v>59</v>
      </c>
      <c r="L4" s="3">
        <f t="shared" si="0"/>
        <v>1.05717333333333</v>
      </c>
    </row>
    <row r="5" spans="1:12">
      <c r="A5" s="2">
        <v>45661</v>
      </c>
      <c r="B5" t="s">
        <v>68</v>
      </c>
      <c r="C5">
        <v>4000</v>
      </c>
      <c r="D5">
        <v>73</v>
      </c>
      <c r="E5">
        <v>1.9</v>
      </c>
      <c r="F5">
        <v>8.3</v>
      </c>
      <c r="G5" t="s">
        <v>69</v>
      </c>
      <c r="H5" t="s">
        <v>56</v>
      </c>
      <c r="I5" t="s">
        <v>61</v>
      </c>
      <c r="J5" t="s">
        <v>70</v>
      </c>
      <c r="K5" t="s">
        <v>59</v>
      </c>
      <c r="L5" s="3">
        <f t="shared" si="0"/>
        <v>0.800833333333333</v>
      </c>
    </row>
    <row r="6" spans="1:12">
      <c r="A6" s="2">
        <v>45662</v>
      </c>
      <c r="B6" t="s">
        <v>71</v>
      </c>
      <c r="C6">
        <v>9013</v>
      </c>
      <c r="D6">
        <v>62</v>
      </c>
      <c r="E6">
        <v>1.2</v>
      </c>
      <c r="F6">
        <v>5.2</v>
      </c>
      <c r="G6" t="s">
        <v>69</v>
      </c>
      <c r="H6" t="s">
        <v>72</v>
      </c>
      <c r="I6" t="s">
        <v>66</v>
      </c>
      <c r="J6" t="s">
        <v>70</v>
      </c>
      <c r="K6" t="s">
        <v>59</v>
      </c>
      <c r="L6" s="3">
        <f t="shared" si="0"/>
        <v>0.817186666666667</v>
      </c>
    </row>
    <row r="7" spans="1:12">
      <c r="A7" s="2">
        <v>45809</v>
      </c>
      <c r="B7" t="s">
        <v>64</v>
      </c>
      <c r="C7">
        <v>9055</v>
      </c>
      <c r="D7">
        <v>11</v>
      </c>
      <c r="E7">
        <v>1.8</v>
      </c>
      <c r="F7">
        <v>5</v>
      </c>
      <c r="G7" t="s">
        <v>73</v>
      </c>
      <c r="H7" t="s">
        <v>74</v>
      </c>
      <c r="I7" t="s">
        <v>75</v>
      </c>
      <c r="J7" t="s">
        <v>76</v>
      </c>
      <c r="K7" t="s">
        <v>59</v>
      </c>
      <c r="L7" s="3">
        <f t="shared" si="0"/>
        <v>0.703866666666667</v>
      </c>
    </row>
    <row r="8" spans="1:12">
      <c r="A8" s="2">
        <v>45664</v>
      </c>
      <c r="B8" t="s">
        <v>77</v>
      </c>
      <c r="C8">
        <v>14603</v>
      </c>
      <c r="D8">
        <v>24</v>
      </c>
      <c r="E8">
        <v>0.8</v>
      </c>
      <c r="F8">
        <v>5</v>
      </c>
      <c r="G8" t="s">
        <v>55</v>
      </c>
      <c r="H8" t="s">
        <v>65</v>
      </c>
      <c r="I8" t="s">
        <v>78</v>
      </c>
      <c r="J8" t="s">
        <v>67</v>
      </c>
      <c r="K8" t="s">
        <v>63</v>
      </c>
      <c r="L8" s="3">
        <f t="shared" si="0"/>
        <v>0.86912</v>
      </c>
    </row>
    <row r="9" spans="1:12">
      <c r="A9" s="2">
        <v>45870</v>
      </c>
      <c r="B9" t="s">
        <v>77</v>
      </c>
      <c r="C9">
        <v>6359</v>
      </c>
      <c r="D9">
        <v>69</v>
      </c>
      <c r="E9">
        <v>2.1</v>
      </c>
      <c r="F9">
        <v>4.7</v>
      </c>
      <c r="G9" t="s">
        <v>73</v>
      </c>
      <c r="H9" t="s">
        <v>72</v>
      </c>
      <c r="I9" t="s">
        <v>66</v>
      </c>
      <c r="J9" t="s">
        <v>79</v>
      </c>
      <c r="K9" t="s">
        <v>59</v>
      </c>
      <c r="L9" s="3">
        <f t="shared" si="0"/>
        <v>0.81186</v>
      </c>
    </row>
    <row r="10" spans="1:12">
      <c r="A10" s="2">
        <v>45666</v>
      </c>
      <c r="B10" t="s">
        <v>54</v>
      </c>
      <c r="C10">
        <v>6758</v>
      </c>
      <c r="D10">
        <v>90</v>
      </c>
      <c r="E10">
        <v>2.6</v>
      </c>
      <c r="F10">
        <v>8</v>
      </c>
      <c r="G10" t="s">
        <v>80</v>
      </c>
      <c r="H10" t="s">
        <v>65</v>
      </c>
      <c r="I10" t="s">
        <v>61</v>
      </c>
      <c r="J10" t="s">
        <v>58</v>
      </c>
      <c r="K10" t="s">
        <v>63</v>
      </c>
      <c r="L10" s="3">
        <f t="shared" si="0"/>
        <v>1.03032</v>
      </c>
    </row>
    <row r="11" spans="1:12">
      <c r="A11" s="2">
        <v>45667</v>
      </c>
      <c r="B11" t="s">
        <v>77</v>
      </c>
      <c r="C11">
        <v>4604</v>
      </c>
      <c r="D11">
        <v>57</v>
      </c>
      <c r="E11">
        <v>1.6</v>
      </c>
      <c r="F11">
        <v>7.3</v>
      </c>
      <c r="G11" t="s">
        <v>69</v>
      </c>
      <c r="H11" t="s">
        <v>56</v>
      </c>
      <c r="I11" t="s">
        <v>66</v>
      </c>
      <c r="J11" t="s">
        <v>81</v>
      </c>
      <c r="K11" t="s">
        <v>63</v>
      </c>
      <c r="L11" s="3">
        <f t="shared" si="0"/>
        <v>0.71666</v>
      </c>
    </row>
    <row r="12" spans="1:12">
      <c r="A12" s="2">
        <v>45962</v>
      </c>
      <c r="B12" t="s">
        <v>82</v>
      </c>
      <c r="C12">
        <v>12382</v>
      </c>
      <c r="D12">
        <v>10</v>
      </c>
      <c r="E12">
        <v>2.7</v>
      </c>
      <c r="F12">
        <v>5.2</v>
      </c>
      <c r="G12" t="s">
        <v>73</v>
      </c>
      <c r="H12" t="s">
        <v>65</v>
      </c>
      <c r="I12" t="s">
        <v>75</v>
      </c>
      <c r="J12" t="s">
        <v>83</v>
      </c>
      <c r="K12" t="s">
        <v>63</v>
      </c>
      <c r="L12" s="3">
        <f t="shared" si="0"/>
        <v>0.928613333333333</v>
      </c>
    </row>
    <row r="13" spans="1:12">
      <c r="A13" s="2">
        <v>45669</v>
      </c>
      <c r="B13" t="s">
        <v>84</v>
      </c>
      <c r="C13">
        <v>2363</v>
      </c>
      <c r="D13">
        <v>112</v>
      </c>
      <c r="E13">
        <v>1.9</v>
      </c>
      <c r="F13">
        <v>6.8</v>
      </c>
      <c r="G13" t="s">
        <v>80</v>
      </c>
      <c r="H13" t="s">
        <v>56</v>
      </c>
      <c r="I13" t="s">
        <v>57</v>
      </c>
      <c r="J13" t="s">
        <v>85</v>
      </c>
      <c r="K13" t="s">
        <v>59</v>
      </c>
      <c r="L13" s="3">
        <f t="shared" si="0"/>
        <v>0.827853333333333</v>
      </c>
    </row>
    <row r="14" spans="1:12">
      <c r="A14" s="2">
        <v>45670</v>
      </c>
      <c r="B14" t="s">
        <v>77</v>
      </c>
      <c r="C14">
        <v>11414</v>
      </c>
      <c r="D14">
        <v>95</v>
      </c>
      <c r="E14">
        <v>3.1</v>
      </c>
      <c r="F14">
        <v>7.1</v>
      </c>
      <c r="G14" t="s">
        <v>69</v>
      </c>
      <c r="H14" t="s">
        <v>56</v>
      </c>
      <c r="I14" t="s">
        <v>57</v>
      </c>
      <c r="J14" t="s">
        <v>86</v>
      </c>
      <c r="K14" t="s">
        <v>63</v>
      </c>
      <c r="L14" s="3">
        <f t="shared" si="0"/>
        <v>1.26072666666667</v>
      </c>
    </row>
    <row r="15" spans="1:12">
      <c r="A15" s="2">
        <v>45671</v>
      </c>
      <c r="B15" t="s">
        <v>60</v>
      </c>
      <c r="C15">
        <v>4000</v>
      </c>
      <c r="D15">
        <v>101</v>
      </c>
      <c r="E15">
        <v>1.6</v>
      </c>
      <c r="F15">
        <v>8.5</v>
      </c>
      <c r="G15" t="s">
        <v>69</v>
      </c>
      <c r="H15" t="s">
        <v>87</v>
      </c>
      <c r="I15" t="s">
        <v>78</v>
      </c>
      <c r="J15" t="s">
        <v>88</v>
      </c>
      <c r="K15" t="s">
        <v>59</v>
      </c>
      <c r="L15" s="3">
        <f t="shared" si="0"/>
        <v>0.869166666666667</v>
      </c>
    </row>
    <row r="16" spans="1:12">
      <c r="A16" s="2">
        <v>45672</v>
      </c>
      <c r="B16" t="s">
        <v>82</v>
      </c>
      <c r="C16">
        <v>7030</v>
      </c>
      <c r="D16">
        <v>18</v>
      </c>
      <c r="E16">
        <v>2</v>
      </c>
      <c r="F16">
        <v>7.5</v>
      </c>
      <c r="G16" t="s">
        <v>73</v>
      </c>
      <c r="H16" t="s">
        <v>72</v>
      </c>
      <c r="I16" t="s">
        <v>66</v>
      </c>
      <c r="J16" t="s">
        <v>88</v>
      </c>
      <c r="K16" t="s">
        <v>59</v>
      </c>
      <c r="L16" s="3">
        <f t="shared" si="0"/>
        <v>0.7287</v>
      </c>
    </row>
    <row r="17" spans="1:12">
      <c r="A17" s="2">
        <v>45673</v>
      </c>
      <c r="B17" t="s">
        <v>68</v>
      </c>
      <c r="C17">
        <v>3353</v>
      </c>
      <c r="D17">
        <v>67</v>
      </c>
      <c r="E17">
        <v>0.5</v>
      </c>
      <c r="F17">
        <v>5.3</v>
      </c>
      <c r="G17" t="s">
        <v>69</v>
      </c>
      <c r="H17" t="s">
        <v>89</v>
      </c>
      <c r="I17" t="s">
        <v>57</v>
      </c>
      <c r="J17" t="s">
        <v>90</v>
      </c>
      <c r="K17" t="s">
        <v>63</v>
      </c>
      <c r="L17" s="3">
        <f t="shared" si="0"/>
        <v>0.539953333333333</v>
      </c>
    </row>
    <row r="18" spans="1:12">
      <c r="A18" s="2">
        <v>45674</v>
      </c>
      <c r="B18" t="s">
        <v>77</v>
      </c>
      <c r="C18">
        <v>2354</v>
      </c>
      <c r="D18">
        <v>110</v>
      </c>
      <c r="E18">
        <v>1.5</v>
      </c>
      <c r="F18">
        <v>7.2</v>
      </c>
      <c r="G18" t="s">
        <v>69</v>
      </c>
      <c r="H18" t="s">
        <v>56</v>
      </c>
      <c r="I18" t="s">
        <v>78</v>
      </c>
      <c r="J18" t="s">
        <v>70</v>
      </c>
      <c r="K18" t="s">
        <v>59</v>
      </c>
      <c r="L18" s="3">
        <f t="shared" si="0"/>
        <v>0.790826666666667</v>
      </c>
    </row>
    <row r="19" spans="1:12">
      <c r="A19" s="2">
        <v>45675</v>
      </c>
      <c r="B19" t="s">
        <v>71</v>
      </c>
      <c r="C19">
        <v>12947</v>
      </c>
      <c r="D19">
        <v>26</v>
      </c>
      <c r="E19">
        <v>2.7</v>
      </c>
      <c r="F19">
        <v>5.8</v>
      </c>
      <c r="G19" t="s">
        <v>69</v>
      </c>
      <c r="H19" t="s">
        <v>74</v>
      </c>
      <c r="I19" t="s">
        <v>75</v>
      </c>
      <c r="J19" t="s">
        <v>91</v>
      </c>
      <c r="K19" t="s">
        <v>59</v>
      </c>
      <c r="L19" s="3">
        <f t="shared" si="0"/>
        <v>1.01954666666667</v>
      </c>
    </row>
    <row r="20" spans="1:12">
      <c r="A20" s="2">
        <v>45676</v>
      </c>
      <c r="B20" t="s">
        <v>84</v>
      </c>
      <c r="C20">
        <v>13089</v>
      </c>
      <c r="D20">
        <v>89</v>
      </c>
      <c r="E20">
        <v>0.6</v>
      </c>
      <c r="F20">
        <v>7</v>
      </c>
      <c r="G20" t="s">
        <v>80</v>
      </c>
      <c r="H20" t="s">
        <v>92</v>
      </c>
      <c r="I20" t="s">
        <v>78</v>
      </c>
      <c r="J20" t="s">
        <v>81</v>
      </c>
      <c r="K20" t="s">
        <v>63</v>
      </c>
      <c r="L20" s="3">
        <f t="shared" si="0"/>
        <v>1.05522666666667</v>
      </c>
    </row>
    <row r="21" spans="1:12">
      <c r="A21" s="2">
        <v>45677</v>
      </c>
      <c r="B21" t="s">
        <v>60</v>
      </c>
      <c r="C21">
        <v>4476</v>
      </c>
      <c r="D21">
        <v>49</v>
      </c>
      <c r="E21">
        <v>1.7</v>
      </c>
      <c r="F21">
        <v>8.7</v>
      </c>
      <c r="G21" t="s">
        <v>80</v>
      </c>
      <c r="H21" t="s">
        <v>65</v>
      </c>
      <c r="I21" t="s">
        <v>66</v>
      </c>
      <c r="J21" t="s">
        <v>93</v>
      </c>
      <c r="K21" t="s">
        <v>63</v>
      </c>
      <c r="L21" s="3">
        <f t="shared" si="0"/>
        <v>0.729873333333333</v>
      </c>
    </row>
    <row r="22" spans="1:12">
      <c r="A22" s="2">
        <v>45678</v>
      </c>
      <c r="B22" t="s">
        <v>60</v>
      </c>
      <c r="C22">
        <v>7787</v>
      </c>
      <c r="D22">
        <v>99</v>
      </c>
      <c r="E22">
        <v>3.4</v>
      </c>
      <c r="F22">
        <v>6.6</v>
      </c>
      <c r="G22" t="s">
        <v>80</v>
      </c>
      <c r="H22" t="s">
        <v>92</v>
      </c>
      <c r="I22" t="s">
        <v>66</v>
      </c>
      <c r="J22" t="s">
        <v>83</v>
      </c>
      <c r="K22" t="s">
        <v>59</v>
      </c>
      <c r="L22" s="3">
        <f t="shared" si="0"/>
        <v>1.14648</v>
      </c>
    </row>
    <row r="23" spans="1:12">
      <c r="A23" s="2">
        <v>45679</v>
      </c>
      <c r="B23" t="s">
        <v>71</v>
      </c>
      <c r="C23">
        <v>8900</v>
      </c>
      <c r="D23">
        <v>108</v>
      </c>
      <c r="E23">
        <v>2.6</v>
      </c>
      <c r="F23">
        <v>8.2</v>
      </c>
      <c r="G23" t="s">
        <v>69</v>
      </c>
      <c r="H23" t="s">
        <v>92</v>
      </c>
      <c r="I23" t="s">
        <v>66</v>
      </c>
      <c r="J23" t="s">
        <v>94</v>
      </c>
      <c r="K23" t="s">
        <v>63</v>
      </c>
      <c r="L23" s="3">
        <f t="shared" si="0"/>
        <v>1.181</v>
      </c>
    </row>
    <row r="24" spans="1:12">
      <c r="A24" s="2">
        <v>45680</v>
      </c>
      <c r="B24" t="s">
        <v>84</v>
      </c>
      <c r="C24">
        <v>5699</v>
      </c>
      <c r="D24">
        <v>93</v>
      </c>
      <c r="E24">
        <v>2.2</v>
      </c>
      <c r="F24">
        <v>5.9</v>
      </c>
      <c r="G24" t="s">
        <v>69</v>
      </c>
      <c r="H24" t="s">
        <v>65</v>
      </c>
      <c r="I24" t="s">
        <v>57</v>
      </c>
      <c r="J24" t="s">
        <v>95</v>
      </c>
      <c r="K24" t="s">
        <v>59</v>
      </c>
      <c r="L24" s="3">
        <f t="shared" si="0"/>
        <v>0.90546</v>
      </c>
    </row>
    <row r="25" spans="1:12">
      <c r="A25" s="2">
        <v>45681</v>
      </c>
      <c r="B25" t="s">
        <v>71</v>
      </c>
      <c r="C25">
        <v>2456</v>
      </c>
      <c r="D25">
        <v>50</v>
      </c>
      <c r="E25">
        <v>1</v>
      </c>
      <c r="F25">
        <v>4.1</v>
      </c>
      <c r="G25" t="s">
        <v>55</v>
      </c>
      <c r="H25" t="s">
        <v>56</v>
      </c>
      <c r="I25" t="s">
        <v>57</v>
      </c>
      <c r="J25" t="s">
        <v>90</v>
      </c>
      <c r="K25" t="s">
        <v>59</v>
      </c>
      <c r="L25" s="3">
        <f t="shared" si="0"/>
        <v>0.467406666666667</v>
      </c>
    </row>
    <row r="26" spans="1:12">
      <c r="A26" s="2">
        <v>45682</v>
      </c>
      <c r="B26" t="s">
        <v>54</v>
      </c>
      <c r="C26">
        <v>12427</v>
      </c>
      <c r="D26">
        <v>85</v>
      </c>
      <c r="E26">
        <v>2</v>
      </c>
      <c r="F26">
        <v>7.2</v>
      </c>
      <c r="G26" t="s">
        <v>73</v>
      </c>
      <c r="H26" t="s">
        <v>72</v>
      </c>
      <c r="I26" t="s">
        <v>61</v>
      </c>
      <c r="J26" t="s">
        <v>83</v>
      </c>
      <c r="K26" t="s">
        <v>59</v>
      </c>
      <c r="L26" s="3">
        <f t="shared" si="0"/>
        <v>1.16041333333333</v>
      </c>
    </row>
    <row r="27" spans="1:12">
      <c r="A27" s="2">
        <v>45683</v>
      </c>
      <c r="B27" t="s">
        <v>77</v>
      </c>
      <c r="C27">
        <v>6393</v>
      </c>
      <c r="D27">
        <v>106</v>
      </c>
      <c r="E27">
        <v>0.5</v>
      </c>
      <c r="F27">
        <v>6.5</v>
      </c>
      <c r="G27" t="s">
        <v>69</v>
      </c>
      <c r="H27" t="s">
        <v>92</v>
      </c>
      <c r="I27" t="s">
        <v>61</v>
      </c>
      <c r="J27" t="s">
        <v>96</v>
      </c>
      <c r="K27" t="s">
        <v>63</v>
      </c>
      <c r="L27" s="3">
        <f t="shared" si="0"/>
        <v>0.821553333333333</v>
      </c>
    </row>
    <row r="28" spans="1:12">
      <c r="A28" s="2">
        <v>45684</v>
      </c>
      <c r="B28" t="s">
        <v>77</v>
      </c>
      <c r="C28">
        <v>10935</v>
      </c>
      <c r="D28">
        <v>39</v>
      </c>
      <c r="E28">
        <v>3.4</v>
      </c>
      <c r="F28">
        <v>8.6</v>
      </c>
      <c r="G28" t="s">
        <v>80</v>
      </c>
      <c r="H28" t="s">
        <v>65</v>
      </c>
      <c r="I28" t="s">
        <v>66</v>
      </c>
      <c r="J28" t="s">
        <v>97</v>
      </c>
      <c r="K28" t="s">
        <v>63</v>
      </c>
      <c r="L28" s="3">
        <f t="shared" si="0"/>
        <v>1.1224</v>
      </c>
    </row>
    <row r="29" spans="1:12">
      <c r="A29" s="2">
        <v>45685</v>
      </c>
      <c r="B29" t="s">
        <v>84</v>
      </c>
      <c r="C29">
        <v>6588</v>
      </c>
      <c r="D29">
        <v>72</v>
      </c>
      <c r="E29">
        <v>1.4</v>
      </c>
      <c r="F29">
        <v>5</v>
      </c>
      <c r="G29" t="s">
        <v>69</v>
      </c>
      <c r="H29" t="s">
        <v>65</v>
      </c>
      <c r="I29" t="s">
        <v>75</v>
      </c>
      <c r="J29" t="s">
        <v>88</v>
      </c>
      <c r="K29" t="s">
        <v>63</v>
      </c>
      <c r="L29" s="3">
        <f t="shared" si="0"/>
        <v>0.76852</v>
      </c>
    </row>
    <row r="30" spans="1:12">
      <c r="A30" s="2">
        <v>45686</v>
      </c>
      <c r="B30" t="s">
        <v>71</v>
      </c>
      <c r="C30">
        <v>4233</v>
      </c>
      <c r="D30">
        <v>33</v>
      </c>
      <c r="E30">
        <v>1.1</v>
      </c>
      <c r="F30">
        <v>7.4</v>
      </c>
      <c r="G30" t="s">
        <v>55</v>
      </c>
      <c r="H30" t="s">
        <v>72</v>
      </c>
      <c r="I30" t="s">
        <v>61</v>
      </c>
      <c r="J30" t="s">
        <v>98</v>
      </c>
      <c r="K30" t="s">
        <v>59</v>
      </c>
      <c r="L30" s="3">
        <f t="shared" si="0"/>
        <v>0.57432</v>
      </c>
    </row>
    <row r="31" spans="1:12">
      <c r="A31" s="2">
        <v>45688</v>
      </c>
      <c r="B31" t="s">
        <v>82</v>
      </c>
      <c r="C31">
        <v>4000</v>
      </c>
      <c r="D31">
        <v>74</v>
      </c>
      <c r="E31">
        <v>0.7</v>
      </c>
      <c r="F31">
        <v>6</v>
      </c>
      <c r="G31" t="s">
        <v>73</v>
      </c>
      <c r="H31" t="s">
        <v>89</v>
      </c>
      <c r="I31" t="s">
        <v>57</v>
      </c>
      <c r="J31" t="s">
        <v>99</v>
      </c>
      <c r="K31" t="s">
        <v>59</v>
      </c>
      <c r="L31" s="3">
        <f t="shared" si="0"/>
        <v>0.626666666666667</v>
      </c>
    </row>
    <row r="32" spans="1:12">
      <c r="A32" s="2">
        <v>45689</v>
      </c>
      <c r="B32" t="s">
        <v>71</v>
      </c>
      <c r="C32">
        <v>5646</v>
      </c>
      <c r="D32">
        <v>34</v>
      </c>
      <c r="E32">
        <v>0.5</v>
      </c>
      <c r="F32">
        <v>8.9</v>
      </c>
      <c r="G32" t="s">
        <v>55</v>
      </c>
      <c r="H32" t="s">
        <v>87</v>
      </c>
      <c r="I32" t="s">
        <v>75</v>
      </c>
      <c r="J32" t="s">
        <v>100</v>
      </c>
      <c r="K32" t="s">
        <v>63</v>
      </c>
      <c r="L32" s="3">
        <f t="shared" si="0"/>
        <v>0.611673333333333</v>
      </c>
    </row>
    <row r="33" spans="1:12">
      <c r="A33" s="2">
        <v>45690</v>
      </c>
      <c r="B33" t="s">
        <v>68</v>
      </c>
      <c r="C33">
        <v>12352</v>
      </c>
      <c r="D33">
        <v>106</v>
      </c>
      <c r="E33">
        <v>3</v>
      </c>
      <c r="F33">
        <v>5.4</v>
      </c>
      <c r="G33" t="s">
        <v>69</v>
      </c>
      <c r="H33" t="s">
        <v>92</v>
      </c>
      <c r="I33" t="s">
        <v>75</v>
      </c>
      <c r="J33" t="s">
        <v>101</v>
      </c>
      <c r="K33" t="s">
        <v>63</v>
      </c>
      <c r="L33" s="3">
        <f t="shared" si="0"/>
        <v>1.28241333333333</v>
      </c>
    </row>
    <row r="34" spans="1:12">
      <c r="A34" s="2">
        <v>45691</v>
      </c>
      <c r="B34" t="s">
        <v>68</v>
      </c>
      <c r="C34">
        <v>8579</v>
      </c>
      <c r="D34">
        <v>61</v>
      </c>
      <c r="E34">
        <v>0.9</v>
      </c>
      <c r="F34">
        <v>8.8</v>
      </c>
      <c r="G34" t="s">
        <v>69</v>
      </c>
      <c r="H34" t="s">
        <v>65</v>
      </c>
      <c r="I34" t="s">
        <v>66</v>
      </c>
      <c r="J34" t="s">
        <v>102</v>
      </c>
      <c r="K34" t="s">
        <v>63</v>
      </c>
      <c r="L34" s="3">
        <f t="shared" si="0"/>
        <v>0.856493333333333</v>
      </c>
    </row>
    <row r="35" spans="1:12">
      <c r="A35" s="2">
        <v>45692</v>
      </c>
      <c r="B35" t="s">
        <v>82</v>
      </c>
      <c r="C35">
        <v>9808</v>
      </c>
      <c r="D35">
        <v>71</v>
      </c>
      <c r="E35">
        <v>3</v>
      </c>
      <c r="F35">
        <v>7.5</v>
      </c>
      <c r="G35" t="s">
        <v>73</v>
      </c>
      <c r="H35" t="s">
        <v>56</v>
      </c>
      <c r="I35" t="s">
        <v>78</v>
      </c>
      <c r="J35" t="s">
        <v>103</v>
      </c>
      <c r="K35" t="s">
        <v>59</v>
      </c>
      <c r="L35" s="3">
        <f t="shared" si="0"/>
        <v>1.11648666666667</v>
      </c>
    </row>
    <row r="36" spans="1:12">
      <c r="A36" s="2">
        <v>45693</v>
      </c>
      <c r="B36" t="s">
        <v>60</v>
      </c>
      <c r="C36">
        <v>14275</v>
      </c>
      <c r="D36">
        <v>118</v>
      </c>
      <c r="E36">
        <v>1.3</v>
      </c>
      <c r="F36">
        <v>8.8</v>
      </c>
      <c r="G36" t="s">
        <v>80</v>
      </c>
      <c r="H36" t="s">
        <v>87</v>
      </c>
      <c r="I36" t="s">
        <v>78</v>
      </c>
      <c r="J36" t="s">
        <v>104</v>
      </c>
      <c r="K36" t="s">
        <v>59</v>
      </c>
      <c r="L36" s="3">
        <f t="shared" si="0"/>
        <v>1.31433333333333</v>
      </c>
    </row>
    <row r="37" spans="1:12">
      <c r="A37" s="2">
        <v>45694</v>
      </c>
      <c r="B37" t="s">
        <v>54</v>
      </c>
      <c r="C37">
        <v>14784</v>
      </c>
      <c r="D37">
        <v>95</v>
      </c>
      <c r="E37">
        <v>0.5</v>
      </c>
      <c r="F37">
        <v>4.6</v>
      </c>
      <c r="G37" t="s">
        <v>55</v>
      </c>
      <c r="H37" t="s">
        <v>56</v>
      </c>
      <c r="I37" t="s">
        <v>78</v>
      </c>
      <c r="J37" t="s">
        <v>67</v>
      </c>
      <c r="K37" t="s">
        <v>63</v>
      </c>
      <c r="L37" s="3">
        <f t="shared" si="0"/>
        <v>1.07302666666667</v>
      </c>
    </row>
    <row r="38" spans="1:12">
      <c r="A38" s="2">
        <v>45697</v>
      </c>
      <c r="B38" t="s">
        <v>82</v>
      </c>
      <c r="C38">
        <v>13238</v>
      </c>
      <c r="D38">
        <v>93</v>
      </c>
      <c r="E38">
        <v>2.2</v>
      </c>
      <c r="F38">
        <v>5.9</v>
      </c>
      <c r="G38" t="s">
        <v>80</v>
      </c>
      <c r="H38" t="s">
        <v>87</v>
      </c>
      <c r="I38" t="s">
        <v>78</v>
      </c>
      <c r="J38" t="s">
        <v>105</v>
      </c>
      <c r="K38" t="s">
        <v>59</v>
      </c>
      <c r="L38" s="3">
        <f t="shared" si="0"/>
        <v>1.20702</v>
      </c>
    </row>
    <row r="39" spans="1:12">
      <c r="A39" s="2">
        <v>45699</v>
      </c>
      <c r="B39" t="s">
        <v>54</v>
      </c>
      <c r="C39">
        <v>11317</v>
      </c>
      <c r="D39">
        <v>43</v>
      </c>
      <c r="E39">
        <v>0.5</v>
      </c>
      <c r="F39">
        <v>6.5</v>
      </c>
      <c r="G39" t="s">
        <v>55</v>
      </c>
      <c r="H39" t="s">
        <v>56</v>
      </c>
      <c r="I39" t="s">
        <v>61</v>
      </c>
      <c r="J39" t="s">
        <v>85</v>
      </c>
      <c r="K39" t="s">
        <v>63</v>
      </c>
      <c r="L39" s="3">
        <f t="shared" si="0"/>
        <v>0.808513333333333</v>
      </c>
    </row>
    <row r="40" spans="1:12">
      <c r="A40" s="2">
        <v>45700</v>
      </c>
      <c r="B40" t="s">
        <v>82</v>
      </c>
      <c r="C40">
        <v>10367</v>
      </c>
      <c r="D40">
        <v>19</v>
      </c>
      <c r="E40">
        <v>1.8</v>
      </c>
      <c r="F40">
        <v>6.8</v>
      </c>
      <c r="G40" t="s">
        <v>69</v>
      </c>
      <c r="H40" t="s">
        <v>89</v>
      </c>
      <c r="I40" t="s">
        <v>78</v>
      </c>
      <c r="J40" t="s">
        <v>76</v>
      </c>
      <c r="K40" t="s">
        <v>59</v>
      </c>
      <c r="L40" s="3">
        <f t="shared" si="0"/>
        <v>0.828013333333333</v>
      </c>
    </row>
    <row r="41" spans="1:12">
      <c r="A41" s="2">
        <v>45701</v>
      </c>
      <c r="B41" t="s">
        <v>64</v>
      </c>
      <c r="C41">
        <v>13824</v>
      </c>
      <c r="D41">
        <v>21</v>
      </c>
      <c r="E41">
        <v>1.8</v>
      </c>
      <c r="F41">
        <v>7.8</v>
      </c>
      <c r="G41" t="s">
        <v>69</v>
      </c>
      <c r="H41" t="s">
        <v>87</v>
      </c>
      <c r="I41" t="s">
        <v>78</v>
      </c>
      <c r="J41" t="s">
        <v>106</v>
      </c>
      <c r="K41" t="s">
        <v>63</v>
      </c>
      <c r="L41" s="3">
        <f t="shared" si="0"/>
        <v>0.99796</v>
      </c>
    </row>
    <row r="42" spans="1:12">
      <c r="A42" s="2">
        <v>45702</v>
      </c>
      <c r="B42" t="s">
        <v>84</v>
      </c>
      <c r="C42">
        <v>2198</v>
      </c>
      <c r="D42">
        <v>28</v>
      </c>
      <c r="E42">
        <v>1.7</v>
      </c>
      <c r="F42">
        <v>4.1</v>
      </c>
      <c r="G42" t="s">
        <v>80</v>
      </c>
      <c r="H42" t="s">
        <v>74</v>
      </c>
      <c r="I42" t="s">
        <v>78</v>
      </c>
      <c r="J42" t="s">
        <v>107</v>
      </c>
      <c r="K42" t="s">
        <v>59</v>
      </c>
      <c r="L42" s="3">
        <f t="shared" si="0"/>
        <v>0.453753333333333</v>
      </c>
    </row>
    <row r="43" spans="1:12">
      <c r="A43" s="2">
        <v>45703</v>
      </c>
      <c r="B43" t="s">
        <v>82</v>
      </c>
      <c r="C43">
        <v>6986</v>
      </c>
      <c r="D43">
        <v>25</v>
      </c>
      <c r="E43">
        <v>1.8</v>
      </c>
      <c r="F43">
        <v>5.5</v>
      </c>
      <c r="G43" t="s">
        <v>73</v>
      </c>
      <c r="H43" t="s">
        <v>87</v>
      </c>
      <c r="I43" t="s">
        <v>66</v>
      </c>
      <c r="J43" t="s">
        <v>108</v>
      </c>
      <c r="K43" t="s">
        <v>63</v>
      </c>
      <c r="L43" s="3">
        <f t="shared" si="0"/>
        <v>0.680273333333333</v>
      </c>
    </row>
    <row r="44" spans="1:12">
      <c r="A44" s="2">
        <v>45704</v>
      </c>
      <c r="B44" t="s">
        <v>77</v>
      </c>
      <c r="C44">
        <v>6661</v>
      </c>
      <c r="D44">
        <v>67</v>
      </c>
      <c r="E44">
        <v>0.7</v>
      </c>
      <c r="F44">
        <v>6.7</v>
      </c>
      <c r="G44" t="s">
        <v>69</v>
      </c>
      <c r="H44" t="s">
        <v>65</v>
      </c>
      <c r="I44" t="s">
        <v>61</v>
      </c>
      <c r="J44" t="s">
        <v>109</v>
      </c>
      <c r="K44" t="s">
        <v>59</v>
      </c>
      <c r="L44" s="3">
        <f t="shared" si="0"/>
        <v>0.727273333333333</v>
      </c>
    </row>
    <row r="45" spans="1:12">
      <c r="A45" s="2">
        <v>45705</v>
      </c>
      <c r="B45" t="s">
        <v>60</v>
      </c>
      <c r="C45">
        <v>4039</v>
      </c>
      <c r="D45">
        <v>26</v>
      </c>
      <c r="E45">
        <v>0.8</v>
      </c>
      <c r="F45">
        <v>4.4</v>
      </c>
      <c r="G45" t="s">
        <v>69</v>
      </c>
      <c r="H45" t="s">
        <v>92</v>
      </c>
      <c r="I45" t="s">
        <v>66</v>
      </c>
      <c r="J45" t="s">
        <v>85</v>
      </c>
      <c r="K45" t="s">
        <v>59</v>
      </c>
      <c r="L45" s="3">
        <f t="shared" si="0"/>
        <v>0.438226666666667</v>
      </c>
    </row>
    <row r="46" spans="1:12">
      <c r="A46" s="2">
        <v>45706</v>
      </c>
      <c r="B46" t="s">
        <v>54</v>
      </c>
      <c r="C46">
        <v>12078</v>
      </c>
      <c r="D46">
        <v>17</v>
      </c>
      <c r="E46">
        <v>1.6</v>
      </c>
      <c r="F46">
        <v>5.9</v>
      </c>
      <c r="G46" t="s">
        <v>69</v>
      </c>
      <c r="H46" t="s">
        <v>89</v>
      </c>
      <c r="I46" t="s">
        <v>66</v>
      </c>
      <c r="J46" t="s">
        <v>110</v>
      </c>
      <c r="K46" t="s">
        <v>59</v>
      </c>
      <c r="L46" s="3">
        <f t="shared" si="0"/>
        <v>0.847286666666667</v>
      </c>
    </row>
    <row r="47" spans="1:12">
      <c r="A47" s="2">
        <v>45707</v>
      </c>
      <c r="B47" t="s">
        <v>68</v>
      </c>
      <c r="C47">
        <v>8088</v>
      </c>
      <c r="D47">
        <v>117</v>
      </c>
      <c r="E47">
        <v>0.5</v>
      </c>
      <c r="F47">
        <v>6.1</v>
      </c>
      <c r="G47" t="s">
        <v>69</v>
      </c>
      <c r="H47" t="s">
        <v>89</v>
      </c>
      <c r="I47" t="s">
        <v>61</v>
      </c>
      <c r="J47" t="s">
        <v>111</v>
      </c>
      <c r="K47" t="s">
        <v>63</v>
      </c>
      <c r="L47" s="3">
        <f t="shared" si="0"/>
        <v>0.91602</v>
      </c>
    </row>
    <row r="48" spans="1:12">
      <c r="A48" s="2">
        <v>45708</v>
      </c>
      <c r="B48" t="s">
        <v>82</v>
      </c>
      <c r="C48">
        <v>8119</v>
      </c>
      <c r="D48">
        <v>81</v>
      </c>
      <c r="E48">
        <v>0.9</v>
      </c>
      <c r="F48">
        <v>7.2</v>
      </c>
      <c r="G48" t="s">
        <v>73</v>
      </c>
      <c r="H48" t="s">
        <v>87</v>
      </c>
      <c r="I48" t="s">
        <v>57</v>
      </c>
      <c r="J48" t="s">
        <v>104</v>
      </c>
      <c r="K48" t="s">
        <v>59</v>
      </c>
      <c r="L48" s="3">
        <f t="shared" si="0"/>
        <v>0.86476</v>
      </c>
    </row>
    <row r="49" spans="1:12">
      <c r="A49" s="2">
        <v>45709</v>
      </c>
      <c r="B49" t="s">
        <v>84</v>
      </c>
      <c r="C49">
        <v>4000</v>
      </c>
      <c r="D49">
        <v>15</v>
      </c>
      <c r="E49">
        <v>2.9</v>
      </c>
      <c r="F49">
        <v>8.9</v>
      </c>
      <c r="G49" t="s">
        <v>80</v>
      </c>
      <c r="H49" t="s">
        <v>74</v>
      </c>
      <c r="I49" t="s">
        <v>66</v>
      </c>
      <c r="J49" t="s">
        <v>112</v>
      </c>
      <c r="K49" t="s">
        <v>63</v>
      </c>
      <c r="L49" s="3">
        <f t="shared" si="0"/>
        <v>0.7225</v>
      </c>
    </row>
    <row r="50" spans="1:12">
      <c r="A50" s="2">
        <v>45710</v>
      </c>
      <c r="B50" t="s">
        <v>54</v>
      </c>
      <c r="C50">
        <v>13204</v>
      </c>
      <c r="D50">
        <v>27</v>
      </c>
      <c r="E50">
        <v>1</v>
      </c>
      <c r="F50">
        <v>5.1</v>
      </c>
      <c r="G50" t="s">
        <v>69</v>
      </c>
      <c r="H50" t="s">
        <v>92</v>
      </c>
      <c r="I50" t="s">
        <v>75</v>
      </c>
      <c r="J50" t="s">
        <v>86</v>
      </c>
      <c r="K50" t="s">
        <v>63</v>
      </c>
      <c r="L50" s="3">
        <f t="shared" si="0"/>
        <v>0.84566</v>
      </c>
    </row>
    <row r="51" spans="1:12">
      <c r="A51" s="2">
        <v>45711</v>
      </c>
      <c r="B51" t="s">
        <v>77</v>
      </c>
      <c r="C51">
        <v>2853</v>
      </c>
      <c r="D51">
        <v>105</v>
      </c>
      <c r="E51">
        <v>0.7</v>
      </c>
      <c r="F51">
        <v>6</v>
      </c>
      <c r="G51" t="s">
        <v>69</v>
      </c>
      <c r="H51" t="s">
        <v>87</v>
      </c>
      <c r="I51" t="s">
        <v>57</v>
      </c>
      <c r="J51" t="s">
        <v>113</v>
      </c>
      <c r="K51" t="s">
        <v>63</v>
      </c>
      <c r="L51" s="3">
        <f t="shared" si="0"/>
        <v>0.68412</v>
      </c>
    </row>
    <row r="52" spans="1:12">
      <c r="A52" s="2">
        <v>45712</v>
      </c>
      <c r="B52" t="s">
        <v>71</v>
      </c>
      <c r="C52">
        <v>2039</v>
      </c>
      <c r="D52">
        <v>101</v>
      </c>
      <c r="E52">
        <v>1.6</v>
      </c>
      <c r="F52">
        <v>5.3</v>
      </c>
      <c r="G52" t="s">
        <v>73</v>
      </c>
      <c r="H52" t="s">
        <v>92</v>
      </c>
      <c r="I52" t="s">
        <v>61</v>
      </c>
      <c r="J52" t="s">
        <v>114</v>
      </c>
      <c r="K52" t="s">
        <v>63</v>
      </c>
      <c r="L52" s="3">
        <f t="shared" si="0"/>
        <v>0.710726666666667</v>
      </c>
    </row>
    <row r="53" spans="1:12">
      <c r="A53" s="2">
        <v>45713</v>
      </c>
      <c r="B53" t="s">
        <v>84</v>
      </c>
      <c r="C53">
        <v>12648</v>
      </c>
      <c r="D53">
        <v>55</v>
      </c>
      <c r="E53">
        <v>0.7</v>
      </c>
      <c r="F53">
        <v>8.7</v>
      </c>
      <c r="G53" t="s">
        <v>69</v>
      </c>
      <c r="H53" t="s">
        <v>87</v>
      </c>
      <c r="I53" t="s">
        <v>57</v>
      </c>
      <c r="J53" t="s">
        <v>103</v>
      </c>
      <c r="K53" t="s">
        <v>63</v>
      </c>
      <c r="L53" s="3">
        <f t="shared" si="0"/>
        <v>0.976753333333333</v>
      </c>
    </row>
    <row r="54" spans="1:12">
      <c r="A54" s="2">
        <v>45714</v>
      </c>
      <c r="B54" t="s">
        <v>60</v>
      </c>
      <c r="C54">
        <v>6624</v>
      </c>
      <c r="D54">
        <v>42</v>
      </c>
      <c r="E54">
        <v>2.8</v>
      </c>
      <c r="F54">
        <v>6.4</v>
      </c>
      <c r="G54" t="s">
        <v>80</v>
      </c>
      <c r="H54" t="s">
        <v>74</v>
      </c>
      <c r="I54" t="s">
        <v>61</v>
      </c>
      <c r="J54" t="s">
        <v>115</v>
      </c>
      <c r="K54" t="s">
        <v>59</v>
      </c>
      <c r="L54" s="3">
        <f t="shared" si="0"/>
        <v>0.84496</v>
      </c>
    </row>
    <row r="55" spans="1:12">
      <c r="A55" s="2">
        <v>45715</v>
      </c>
      <c r="B55" t="s">
        <v>77</v>
      </c>
      <c r="C55">
        <v>5500</v>
      </c>
      <c r="D55">
        <v>107</v>
      </c>
      <c r="E55">
        <v>0.6</v>
      </c>
      <c r="F55">
        <v>4.7</v>
      </c>
      <c r="G55" t="s">
        <v>69</v>
      </c>
      <c r="H55" t="s">
        <v>56</v>
      </c>
      <c r="I55" t="s">
        <v>57</v>
      </c>
      <c r="J55" t="s">
        <v>116</v>
      </c>
      <c r="K55" t="s">
        <v>59</v>
      </c>
      <c r="L55" s="3">
        <f t="shared" si="0"/>
        <v>0.754166666666667</v>
      </c>
    </row>
    <row r="56" spans="1:12">
      <c r="A56" s="2">
        <v>45716</v>
      </c>
      <c r="B56" t="s">
        <v>68</v>
      </c>
      <c r="C56">
        <v>8690</v>
      </c>
      <c r="D56">
        <v>110</v>
      </c>
      <c r="E56">
        <v>2.7</v>
      </c>
      <c r="F56">
        <v>7.8</v>
      </c>
      <c r="G56" t="s">
        <v>69</v>
      </c>
      <c r="H56" t="s">
        <v>56</v>
      </c>
      <c r="I56" t="s">
        <v>78</v>
      </c>
      <c r="J56" t="s">
        <v>97</v>
      </c>
      <c r="K56" t="s">
        <v>63</v>
      </c>
      <c r="L56" s="3">
        <f>AVERAGE(L6:L55)</f>
        <v>0.860722666666667</v>
      </c>
    </row>
    <row r="57" spans="1:12">
      <c r="A57" s="2">
        <v>45717</v>
      </c>
      <c r="B57" t="s">
        <v>68</v>
      </c>
      <c r="C57">
        <v>6044</v>
      </c>
      <c r="D57">
        <v>113</v>
      </c>
      <c r="E57">
        <v>2.4</v>
      </c>
      <c r="F57">
        <v>5.8</v>
      </c>
      <c r="G57" t="s">
        <v>80</v>
      </c>
      <c r="H57" t="s">
        <v>72</v>
      </c>
      <c r="I57" t="s">
        <v>75</v>
      </c>
      <c r="J57" t="s">
        <v>117</v>
      </c>
      <c r="K57" t="s">
        <v>63</v>
      </c>
      <c r="L57" s="3">
        <f t="shared" ref="L57:L115" si="1">(C57/10000*0.4)+(D57/60*0.2)+(F57/8*0.2)+(E57/2*0.2)</f>
        <v>1.00342666666667</v>
      </c>
    </row>
    <row r="58" spans="1:12">
      <c r="A58" s="2">
        <v>45718</v>
      </c>
      <c r="B58" t="s">
        <v>71</v>
      </c>
      <c r="C58">
        <v>4000</v>
      </c>
      <c r="D58">
        <v>117</v>
      </c>
      <c r="E58">
        <v>2.2</v>
      </c>
      <c r="F58">
        <v>8.4</v>
      </c>
      <c r="G58" t="s">
        <v>80</v>
      </c>
      <c r="H58" t="s">
        <v>92</v>
      </c>
      <c r="I58" t="s">
        <v>66</v>
      </c>
      <c r="J58" t="s">
        <v>118</v>
      </c>
      <c r="K58" t="s">
        <v>63</v>
      </c>
      <c r="L58" s="3">
        <f t="shared" si="1"/>
        <v>0.98</v>
      </c>
    </row>
    <row r="59" spans="1:12">
      <c r="A59" s="2">
        <v>45719</v>
      </c>
      <c r="B59" t="s">
        <v>60</v>
      </c>
      <c r="C59">
        <v>6030</v>
      </c>
      <c r="D59">
        <v>112</v>
      </c>
      <c r="E59">
        <v>0.9</v>
      </c>
      <c r="F59">
        <v>4.1</v>
      </c>
      <c r="G59" t="s">
        <v>55</v>
      </c>
      <c r="H59" t="s">
        <v>72</v>
      </c>
      <c r="I59" t="s">
        <v>57</v>
      </c>
      <c r="J59" t="s">
        <v>98</v>
      </c>
      <c r="K59" t="s">
        <v>59</v>
      </c>
      <c r="L59" s="3">
        <f t="shared" si="1"/>
        <v>0.807033333333333</v>
      </c>
    </row>
    <row r="60" spans="1:12">
      <c r="A60" s="2">
        <v>45720</v>
      </c>
      <c r="B60" t="s">
        <v>60</v>
      </c>
      <c r="C60">
        <v>5761</v>
      </c>
      <c r="D60">
        <v>106</v>
      </c>
      <c r="E60">
        <v>2.9</v>
      </c>
      <c r="F60">
        <v>6</v>
      </c>
      <c r="G60" t="s">
        <v>55</v>
      </c>
      <c r="H60" t="s">
        <v>74</v>
      </c>
      <c r="I60" t="s">
        <v>57</v>
      </c>
      <c r="J60" t="s">
        <v>91</v>
      </c>
      <c r="K60" t="s">
        <v>63</v>
      </c>
      <c r="L60" s="3">
        <f t="shared" si="1"/>
        <v>1.02377333333333</v>
      </c>
    </row>
    <row r="61" spans="1:12">
      <c r="A61" s="2">
        <v>45722</v>
      </c>
      <c r="B61" t="s">
        <v>64</v>
      </c>
      <c r="C61">
        <v>8850</v>
      </c>
      <c r="D61">
        <v>89</v>
      </c>
      <c r="E61">
        <v>1</v>
      </c>
      <c r="F61">
        <v>4.7</v>
      </c>
      <c r="G61" t="s">
        <v>69</v>
      </c>
      <c r="H61" t="s">
        <v>87</v>
      </c>
      <c r="I61" t="s">
        <v>75</v>
      </c>
      <c r="J61" t="s">
        <v>105</v>
      </c>
      <c r="K61" t="s">
        <v>59</v>
      </c>
      <c r="L61" s="3">
        <f t="shared" si="1"/>
        <v>0.868166666666667</v>
      </c>
    </row>
    <row r="62" spans="1:12">
      <c r="A62" s="2">
        <v>45723</v>
      </c>
      <c r="B62" t="s">
        <v>68</v>
      </c>
      <c r="C62">
        <v>11661</v>
      </c>
      <c r="D62">
        <v>70</v>
      </c>
      <c r="E62">
        <v>1.1</v>
      </c>
      <c r="F62">
        <v>4.2</v>
      </c>
      <c r="G62" t="s">
        <v>69</v>
      </c>
      <c r="H62" t="s">
        <v>56</v>
      </c>
      <c r="I62" t="s">
        <v>57</v>
      </c>
      <c r="J62" t="s">
        <v>119</v>
      </c>
      <c r="K62" t="s">
        <v>59</v>
      </c>
      <c r="L62" s="3">
        <f t="shared" si="1"/>
        <v>0.914773333333333</v>
      </c>
    </row>
    <row r="63" spans="1:12">
      <c r="A63" s="2">
        <v>45724</v>
      </c>
      <c r="B63" t="s">
        <v>82</v>
      </c>
      <c r="C63">
        <v>3893</v>
      </c>
      <c r="D63">
        <v>55</v>
      </c>
      <c r="E63">
        <v>1.6</v>
      </c>
      <c r="F63">
        <v>6.5</v>
      </c>
      <c r="G63" t="s">
        <v>80</v>
      </c>
      <c r="H63" t="s">
        <v>87</v>
      </c>
      <c r="I63" t="s">
        <v>66</v>
      </c>
      <c r="J63" t="s">
        <v>70</v>
      </c>
      <c r="K63" t="s">
        <v>59</v>
      </c>
      <c r="L63" s="3">
        <f t="shared" si="1"/>
        <v>0.661553333333333</v>
      </c>
    </row>
    <row r="64" spans="1:12">
      <c r="A64" s="2">
        <v>45725</v>
      </c>
      <c r="B64" t="s">
        <v>68</v>
      </c>
      <c r="C64">
        <v>4378</v>
      </c>
      <c r="D64">
        <v>57</v>
      </c>
      <c r="E64">
        <v>0.7</v>
      </c>
      <c r="F64">
        <v>5.4</v>
      </c>
      <c r="G64" t="s">
        <v>80</v>
      </c>
      <c r="H64" t="s">
        <v>87</v>
      </c>
      <c r="I64" t="s">
        <v>75</v>
      </c>
      <c r="J64" t="s">
        <v>120</v>
      </c>
      <c r="K64" t="s">
        <v>59</v>
      </c>
      <c r="L64" s="3">
        <f t="shared" si="1"/>
        <v>0.57012</v>
      </c>
    </row>
    <row r="65" spans="1:12">
      <c r="A65" s="2">
        <v>45726</v>
      </c>
      <c r="B65" t="s">
        <v>84</v>
      </c>
      <c r="C65">
        <v>14261</v>
      </c>
      <c r="D65">
        <v>37</v>
      </c>
      <c r="E65">
        <v>1.6</v>
      </c>
      <c r="F65">
        <v>6.3</v>
      </c>
      <c r="G65" t="s">
        <v>69</v>
      </c>
      <c r="H65" t="s">
        <v>87</v>
      </c>
      <c r="I65" t="s">
        <v>66</v>
      </c>
      <c r="J65" t="s">
        <v>104</v>
      </c>
      <c r="K65" t="s">
        <v>59</v>
      </c>
      <c r="L65" s="3">
        <f t="shared" si="1"/>
        <v>1.01127333333333</v>
      </c>
    </row>
    <row r="66" spans="1:12">
      <c r="A66" s="2">
        <v>45727</v>
      </c>
      <c r="B66" t="s">
        <v>77</v>
      </c>
      <c r="C66">
        <v>7370</v>
      </c>
      <c r="D66">
        <v>118</v>
      </c>
      <c r="E66">
        <v>3.1</v>
      </c>
      <c r="F66">
        <v>5.8</v>
      </c>
      <c r="G66" t="s">
        <v>80</v>
      </c>
      <c r="H66" t="s">
        <v>72</v>
      </c>
      <c r="I66" t="s">
        <v>66</v>
      </c>
      <c r="J66" t="s">
        <v>118</v>
      </c>
      <c r="K66" t="s">
        <v>63</v>
      </c>
      <c r="L66" s="3">
        <f t="shared" si="1"/>
        <v>1.14313333333333</v>
      </c>
    </row>
    <row r="67" spans="1:12">
      <c r="A67" s="2">
        <v>45728</v>
      </c>
      <c r="B67" t="s">
        <v>64</v>
      </c>
      <c r="C67">
        <v>7729</v>
      </c>
      <c r="D67">
        <v>99</v>
      </c>
      <c r="E67">
        <v>2.1</v>
      </c>
      <c r="F67">
        <v>5.2</v>
      </c>
      <c r="G67" t="s">
        <v>80</v>
      </c>
      <c r="H67" t="s">
        <v>65</v>
      </c>
      <c r="I67" t="s">
        <v>66</v>
      </c>
      <c r="J67" t="s">
        <v>121</v>
      </c>
      <c r="K67" t="s">
        <v>63</v>
      </c>
      <c r="L67" s="3">
        <f t="shared" si="1"/>
        <v>0.97916</v>
      </c>
    </row>
    <row r="68" spans="1:12">
      <c r="A68" s="2">
        <v>45729</v>
      </c>
      <c r="B68" t="s">
        <v>84</v>
      </c>
      <c r="C68">
        <v>11185</v>
      </c>
      <c r="D68">
        <v>43</v>
      </c>
      <c r="E68">
        <v>2.2</v>
      </c>
      <c r="F68">
        <v>6.9</v>
      </c>
      <c r="G68" t="s">
        <v>55</v>
      </c>
      <c r="H68" t="s">
        <v>65</v>
      </c>
      <c r="I68" t="s">
        <v>61</v>
      </c>
      <c r="J68" t="s">
        <v>76</v>
      </c>
      <c r="K68" t="s">
        <v>59</v>
      </c>
      <c r="L68" s="3">
        <f t="shared" si="1"/>
        <v>0.983233333333333</v>
      </c>
    </row>
    <row r="69" spans="1:12">
      <c r="A69" s="2">
        <v>45730</v>
      </c>
      <c r="B69" t="s">
        <v>77</v>
      </c>
      <c r="C69">
        <v>12054</v>
      </c>
      <c r="D69">
        <v>118</v>
      </c>
      <c r="E69">
        <v>1.5</v>
      </c>
      <c r="F69">
        <v>8.7</v>
      </c>
      <c r="G69" t="s">
        <v>80</v>
      </c>
      <c r="H69" t="s">
        <v>92</v>
      </c>
      <c r="I69" t="s">
        <v>61</v>
      </c>
      <c r="J69" t="s">
        <v>116</v>
      </c>
      <c r="K69" t="s">
        <v>63</v>
      </c>
      <c r="L69" s="3">
        <f t="shared" si="1"/>
        <v>1.24299333333333</v>
      </c>
    </row>
    <row r="70" spans="1:12">
      <c r="A70" s="2">
        <v>45731</v>
      </c>
      <c r="B70" t="s">
        <v>82</v>
      </c>
      <c r="C70">
        <v>12089</v>
      </c>
      <c r="D70">
        <v>104</v>
      </c>
      <c r="E70">
        <v>0.7</v>
      </c>
      <c r="F70">
        <v>8.2</v>
      </c>
      <c r="G70" t="s">
        <v>80</v>
      </c>
      <c r="H70" t="s">
        <v>65</v>
      </c>
      <c r="I70" t="s">
        <v>78</v>
      </c>
      <c r="J70" t="s">
        <v>99</v>
      </c>
      <c r="K70" t="s">
        <v>63</v>
      </c>
      <c r="L70" s="3">
        <f t="shared" si="1"/>
        <v>1.10522666666667</v>
      </c>
    </row>
    <row r="71" spans="1:12">
      <c r="A71" s="2">
        <v>45732</v>
      </c>
      <c r="B71" t="s">
        <v>82</v>
      </c>
      <c r="C71">
        <v>13862</v>
      </c>
      <c r="D71">
        <v>13</v>
      </c>
      <c r="E71">
        <v>0.5</v>
      </c>
      <c r="F71">
        <v>8.9</v>
      </c>
      <c r="G71" t="s">
        <v>73</v>
      </c>
      <c r="H71" t="s">
        <v>89</v>
      </c>
      <c r="I71" t="s">
        <v>66</v>
      </c>
      <c r="J71" t="s">
        <v>122</v>
      </c>
      <c r="K71" t="s">
        <v>63</v>
      </c>
      <c r="L71" s="3">
        <f t="shared" si="1"/>
        <v>0.870313333333333</v>
      </c>
    </row>
    <row r="72" spans="1:12">
      <c r="A72" s="2">
        <v>45733</v>
      </c>
      <c r="B72" t="s">
        <v>77</v>
      </c>
      <c r="C72">
        <v>7816</v>
      </c>
      <c r="D72">
        <v>53</v>
      </c>
      <c r="E72">
        <v>1.1</v>
      </c>
      <c r="F72">
        <v>8.8</v>
      </c>
      <c r="G72" t="s">
        <v>55</v>
      </c>
      <c r="H72" t="s">
        <v>56</v>
      </c>
      <c r="I72" t="s">
        <v>57</v>
      </c>
      <c r="J72" t="s">
        <v>102</v>
      </c>
      <c r="K72" t="s">
        <v>63</v>
      </c>
      <c r="L72" s="3">
        <f t="shared" si="1"/>
        <v>0.819306666666667</v>
      </c>
    </row>
    <row r="73" spans="1:12">
      <c r="A73" s="2">
        <v>45734</v>
      </c>
      <c r="B73" t="s">
        <v>64</v>
      </c>
      <c r="C73">
        <v>11265</v>
      </c>
      <c r="D73">
        <v>46</v>
      </c>
      <c r="E73">
        <v>2</v>
      </c>
      <c r="F73">
        <v>8.7</v>
      </c>
      <c r="G73" t="s">
        <v>73</v>
      </c>
      <c r="H73" t="s">
        <v>89</v>
      </c>
      <c r="I73" t="s">
        <v>57</v>
      </c>
      <c r="J73" t="s">
        <v>123</v>
      </c>
      <c r="K73" t="s">
        <v>59</v>
      </c>
      <c r="L73" s="3">
        <f t="shared" si="1"/>
        <v>1.02143333333333</v>
      </c>
    </row>
    <row r="74" spans="1:12">
      <c r="A74" s="2">
        <v>45735</v>
      </c>
      <c r="B74" t="s">
        <v>64</v>
      </c>
      <c r="C74">
        <v>8541</v>
      </c>
      <c r="D74">
        <v>22</v>
      </c>
      <c r="E74">
        <v>2.6</v>
      </c>
      <c r="F74">
        <v>4.4</v>
      </c>
      <c r="G74" t="s">
        <v>80</v>
      </c>
      <c r="H74" t="s">
        <v>56</v>
      </c>
      <c r="I74" t="s">
        <v>75</v>
      </c>
      <c r="J74" t="s">
        <v>93</v>
      </c>
      <c r="K74" t="s">
        <v>63</v>
      </c>
      <c r="L74" s="3">
        <f t="shared" si="1"/>
        <v>0.784973333333333</v>
      </c>
    </row>
    <row r="75" spans="1:12">
      <c r="A75" s="2">
        <v>45736</v>
      </c>
      <c r="B75" t="s">
        <v>68</v>
      </c>
      <c r="C75">
        <v>10810</v>
      </c>
      <c r="D75">
        <v>58</v>
      </c>
      <c r="E75">
        <v>3.1</v>
      </c>
      <c r="F75">
        <v>7.7</v>
      </c>
      <c r="G75" t="s">
        <v>73</v>
      </c>
      <c r="H75" t="s">
        <v>74</v>
      </c>
      <c r="I75" t="s">
        <v>75</v>
      </c>
      <c r="J75" t="s">
        <v>103</v>
      </c>
      <c r="K75" t="s">
        <v>59</v>
      </c>
      <c r="L75" s="3">
        <f t="shared" si="1"/>
        <v>1.12823333333333</v>
      </c>
    </row>
    <row r="76" spans="1:12">
      <c r="A76" s="2">
        <v>45737</v>
      </c>
      <c r="B76" t="s">
        <v>77</v>
      </c>
      <c r="C76">
        <v>4891</v>
      </c>
      <c r="D76">
        <v>31</v>
      </c>
      <c r="E76">
        <v>0.6</v>
      </c>
      <c r="F76">
        <v>7.9</v>
      </c>
      <c r="G76" t="s">
        <v>80</v>
      </c>
      <c r="H76" t="s">
        <v>89</v>
      </c>
      <c r="I76" t="s">
        <v>78</v>
      </c>
      <c r="J76" t="s">
        <v>124</v>
      </c>
      <c r="K76" t="s">
        <v>59</v>
      </c>
      <c r="L76" s="3">
        <f t="shared" si="1"/>
        <v>0.556473333333333</v>
      </c>
    </row>
    <row r="77" spans="1:12">
      <c r="A77" s="2">
        <v>45738</v>
      </c>
      <c r="B77" t="s">
        <v>71</v>
      </c>
      <c r="C77">
        <v>1577</v>
      </c>
      <c r="D77">
        <v>35</v>
      </c>
      <c r="E77">
        <v>3.2</v>
      </c>
      <c r="F77">
        <v>5.6</v>
      </c>
      <c r="G77" t="s">
        <v>69</v>
      </c>
      <c r="H77" t="s">
        <v>56</v>
      </c>
      <c r="I77" t="s">
        <v>66</v>
      </c>
      <c r="J77" t="s">
        <v>125</v>
      </c>
      <c r="K77" t="s">
        <v>63</v>
      </c>
      <c r="L77" s="3">
        <f t="shared" si="1"/>
        <v>0.639746666666667</v>
      </c>
    </row>
    <row r="78" spans="1:12">
      <c r="A78" s="2">
        <v>45739</v>
      </c>
      <c r="B78" t="s">
        <v>77</v>
      </c>
      <c r="C78">
        <v>7484</v>
      </c>
      <c r="D78">
        <v>32</v>
      </c>
      <c r="E78">
        <v>0.5</v>
      </c>
      <c r="F78">
        <v>6.9</v>
      </c>
      <c r="G78" t="s">
        <v>55</v>
      </c>
      <c r="H78" t="s">
        <v>72</v>
      </c>
      <c r="I78" t="s">
        <v>75</v>
      </c>
      <c r="J78" t="s">
        <v>98</v>
      </c>
      <c r="K78" t="s">
        <v>63</v>
      </c>
      <c r="L78" s="3">
        <f t="shared" si="1"/>
        <v>0.628526666666667</v>
      </c>
    </row>
    <row r="79" spans="1:12">
      <c r="A79" s="2">
        <v>45740</v>
      </c>
      <c r="B79" t="s">
        <v>82</v>
      </c>
      <c r="C79">
        <v>9889</v>
      </c>
      <c r="D79">
        <v>15</v>
      </c>
      <c r="E79">
        <v>1.5</v>
      </c>
      <c r="F79">
        <v>7.7</v>
      </c>
      <c r="G79" t="s">
        <v>69</v>
      </c>
      <c r="H79" t="s">
        <v>65</v>
      </c>
      <c r="I79" t="s">
        <v>66</v>
      </c>
      <c r="J79" t="s">
        <v>85</v>
      </c>
      <c r="K79" t="s">
        <v>59</v>
      </c>
      <c r="L79" s="3">
        <f t="shared" si="1"/>
        <v>0.78806</v>
      </c>
    </row>
    <row r="80" spans="1:12">
      <c r="A80" s="2">
        <v>45741</v>
      </c>
      <c r="B80" t="s">
        <v>54</v>
      </c>
      <c r="C80">
        <v>3704</v>
      </c>
      <c r="D80">
        <v>47</v>
      </c>
      <c r="E80">
        <v>2.8</v>
      </c>
      <c r="F80">
        <v>7.5</v>
      </c>
      <c r="G80" t="s">
        <v>80</v>
      </c>
      <c r="H80" t="s">
        <v>89</v>
      </c>
      <c r="I80" t="s">
        <v>61</v>
      </c>
      <c r="J80" t="s">
        <v>126</v>
      </c>
      <c r="K80" t="s">
        <v>59</v>
      </c>
      <c r="L80" s="3">
        <f t="shared" si="1"/>
        <v>0.772326666666667</v>
      </c>
    </row>
    <row r="81" spans="1:12">
      <c r="A81" s="2">
        <v>45742</v>
      </c>
      <c r="B81" t="s">
        <v>64</v>
      </c>
      <c r="C81">
        <v>14929</v>
      </c>
      <c r="D81">
        <v>47</v>
      </c>
      <c r="E81">
        <v>2.1</v>
      </c>
      <c r="F81">
        <v>5.9</v>
      </c>
      <c r="G81" t="s">
        <v>80</v>
      </c>
      <c r="H81" t="s">
        <v>89</v>
      </c>
      <c r="I81" t="s">
        <v>75</v>
      </c>
      <c r="J81" t="s">
        <v>114</v>
      </c>
      <c r="K81" t="s">
        <v>59</v>
      </c>
      <c r="L81" s="3">
        <f t="shared" si="1"/>
        <v>1.11132666666667</v>
      </c>
    </row>
    <row r="82" spans="1:12">
      <c r="A82" s="2">
        <v>45743</v>
      </c>
      <c r="B82" t="s">
        <v>68</v>
      </c>
      <c r="C82">
        <v>5256</v>
      </c>
      <c r="D82">
        <v>11</v>
      </c>
      <c r="E82">
        <v>0.5</v>
      </c>
      <c r="F82">
        <v>7</v>
      </c>
      <c r="G82" t="s">
        <v>55</v>
      </c>
      <c r="H82" t="s">
        <v>72</v>
      </c>
      <c r="I82" t="s">
        <v>78</v>
      </c>
      <c r="J82" t="s">
        <v>76</v>
      </c>
      <c r="K82" t="s">
        <v>59</v>
      </c>
      <c r="L82" s="3">
        <f t="shared" si="1"/>
        <v>0.471906666666667</v>
      </c>
    </row>
    <row r="83" spans="1:12">
      <c r="A83" s="2">
        <v>45744</v>
      </c>
      <c r="B83" t="s">
        <v>71</v>
      </c>
      <c r="C83">
        <v>12897</v>
      </c>
      <c r="D83">
        <v>81</v>
      </c>
      <c r="E83">
        <v>1.8</v>
      </c>
      <c r="F83">
        <v>5.4</v>
      </c>
      <c r="G83" t="s">
        <v>55</v>
      </c>
      <c r="H83" t="s">
        <v>92</v>
      </c>
      <c r="I83" t="s">
        <v>75</v>
      </c>
      <c r="J83" t="s">
        <v>127</v>
      </c>
      <c r="K83" t="s">
        <v>63</v>
      </c>
      <c r="L83" s="3">
        <f t="shared" si="1"/>
        <v>1.10088</v>
      </c>
    </row>
    <row r="84" spans="1:12">
      <c r="A84" s="2">
        <v>45745</v>
      </c>
      <c r="B84" t="s">
        <v>60</v>
      </c>
      <c r="C84">
        <v>12422</v>
      </c>
      <c r="D84">
        <v>85</v>
      </c>
      <c r="E84">
        <v>0.8</v>
      </c>
      <c r="F84">
        <v>8.6</v>
      </c>
      <c r="G84" t="s">
        <v>80</v>
      </c>
      <c r="H84" t="s">
        <v>56</v>
      </c>
      <c r="I84" t="s">
        <v>61</v>
      </c>
      <c r="J84" t="s">
        <v>128</v>
      </c>
      <c r="K84" t="s">
        <v>63</v>
      </c>
      <c r="L84" s="3">
        <f t="shared" si="1"/>
        <v>1.07521333333333</v>
      </c>
    </row>
    <row r="85" spans="1:12">
      <c r="A85" s="2">
        <v>45746</v>
      </c>
      <c r="B85" t="s">
        <v>71</v>
      </c>
      <c r="C85">
        <v>5646</v>
      </c>
      <c r="D85">
        <v>38</v>
      </c>
      <c r="E85">
        <v>0.8</v>
      </c>
      <c r="F85">
        <v>8.2</v>
      </c>
      <c r="G85" t="s">
        <v>80</v>
      </c>
      <c r="H85" t="s">
        <v>72</v>
      </c>
      <c r="I85" t="s">
        <v>61</v>
      </c>
      <c r="J85" t="s">
        <v>129</v>
      </c>
      <c r="K85" t="s">
        <v>59</v>
      </c>
      <c r="L85" s="3">
        <f t="shared" si="1"/>
        <v>0.637506666666667</v>
      </c>
    </row>
    <row r="86" spans="1:12">
      <c r="A86" s="2">
        <v>45747</v>
      </c>
      <c r="B86" t="s">
        <v>71</v>
      </c>
      <c r="C86">
        <v>4572</v>
      </c>
      <c r="D86">
        <v>72</v>
      </c>
      <c r="E86">
        <v>1.4</v>
      </c>
      <c r="F86">
        <v>5.1</v>
      </c>
      <c r="G86" t="s">
        <v>80</v>
      </c>
      <c r="H86" t="s">
        <v>74</v>
      </c>
      <c r="I86" t="s">
        <v>75</v>
      </c>
      <c r="J86" t="s">
        <v>127</v>
      </c>
      <c r="K86" t="s">
        <v>63</v>
      </c>
      <c r="L86" s="3">
        <f t="shared" si="1"/>
        <v>0.69038</v>
      </c>
    </row>
    <row r="87" spans="1:12">
      <c r="A87" s="2">
        <v>45748</v>
      </c>
      <c r="B87" t="s">
        <v>71</v>
      </c>
      <c r="C87">
        <v>9470</v>
      </c>
      <c r="D87">
        <v>72</v>
      </c>
      <c r="E87">
        <v>1.7</v>
      </c>
      <c r="F87">
        <v>8.3</v>
      </c>
      <c r="G87" t="s">
        <v>69</v>
      </c>
      <c r="H87" t="s">
        <v>74</v>
      </c>
      <c r="I87" t="s">
        <v>78</v>
      </c>
      <c r="J87" t="s">
        <v>130</v>
      </c>
      <c r="K87" t="s">
        <v>63</v>
      </c>
      <c r="L87" s="3">
        <f t="shared" si="1"/>
        <v>0.9963</v>
      </c>
    </row>
    <row r="88" spans="1:12">
      <c r="A88" s="2">
        <v>45749</v>
      </c>
      <c r="B88" t="s">
        <v>84</v>
      </c>
      <c r="C88">
        <v>14550</v>
      </c>
      <c r="D88">
        <v>60</v>
      </c>
      <c r="E88">
        <v>1.2</v>
      </c>
      <c r="F88">
        <v>6.9</v>
      </c>
      <c r="G88" t="s">
        <v>69</v>
      </c>
      <c r="H88" t="s">
        <v>74</v>
      </c>
      <c r="I88" t="s">
        <v>57</v>
      </c>
      <c r="J88" t="s">
        <v>119</v>
      </c>
      <c r="K88" t="s">
        <v>63</v>
      </c>
      <c r="L88" s="3">
        <f t="shared" si="1"/>
        <v>1.0745</v>
      </c>
    </row>
    <row r="89" spans="1:12">
      <c r="A89" s="2">
        <v>45750</v>
      </c>
      <c r="B89" t="s">
        <v>54</v>
      </c>
      <c r="C89">
        <v>7088</v>
      </c>
      <c r="D89">
        <v>58</v>
      </c>
      <c r="E89">
        <v>1</v>
      </c>
      <c r="F89">
        <v>8.8</v>
      </c>
      <c r="G89" t="s">
        <v>69</v>
      </c>
      <c r="H89" t="s">
        <v>87</v>
      </c>
      <c r="I89" t="s">
        <v>75</v>
      </c>
      <c r="J89" t="s">
        <v>93</v>
      </c>
      <c r="K89" t="s">
        <v>59</v>
      </c>
      <c r="L89" s="3">
        <f t="shared" si="1"/>
        <v>0.796853333333333</v>
      </c>
    </row>
    <row r="90" spans="1:12">
      <c r="A90" s="2">
        <v>45751</v>
      </c>
      <c r="B90" t="s">
        <v>60</v>
      </c>
      <c r="C90">
        <v>12904</v>
      </c>
      <c r="D90">
        <v>103</v>
      </c>
      <c r="E90">
        <v>0.5</v>
      </c>
      <c r="F90">
        <v>5</v>
      </c>
      <c r="G90" t="s">
        <v>69</v>
      </c>
      <c r="H90" t="s">
        <v>65</v>
      </c>
      <c r="I90" t="s">
        <v>78</v>
      </c>
      <c r="J90" t="s">
        <v>107</v>
      </c>
      <c r="K90" t="s">
        <v>59</v>
      </c>
      <c r="L90" s="3">
        <f t="shared" si="1"/>
        <v>1.03449333333333</v>
      </c>
    </row>
    <row r="91" spans="1:12">
      <c r="A91" s="2">
        <v>45752</v>
      </c>
      <c r="B91" t="s">
        <v>71</v>
      </c>
      <c r="C91">
        <v>3565</v>
      </c>
      <c r="D91">
        <v>10</v>
      </c>
      <c r="E91">
        <v>2.8</v>
      </c>
      <c r="F91">
        <v>6.3</v>
      </c>
      <c r="G91" t="s">
        <v>80</v>
      </c>
      <c r="H91" t="s">
        <v>65</v>
      </c>
      <c r="I91" t="s">
        <v>75</v>
      </c>
      <c r="J91" t="s">
        <v>131</v>
      </c>
      <c r="K91" t="s">
        <v>59</v>
      </c>
      <c r="L91" s="3">
        <f t="shared" si="1"/>
        <v>0.613433333333333</v>
      </c>
    </row>
    <row r="92" spans="1:12">
      <c r="A92" s="2">
        <v>45753</v>
      </c>
      <c r="B92" t="s">
        <v>68</v>
      </c>
      <c r="C92">
        <v>13842</v>
      </c>
      <c r="D92">
        <v>112</v>
      </c>
      <c r="E92">
        <v>2.8</v>
      </c>
      <c r="F92">
        <v>5.4</v>
      </c>
      <c r="G92" t="s">
        <v>80</v>
      </c>
      <c r="H92" t="s">
        <v>89</v>
      </c>
      <c r="I92" t="s">
        <v>66</v>
      </c>
      <c r="J92" t="s">
        <v>107</v>
      </c>
      <c r="K92" t="s">
        <v>63</v>
      </c>
      <c r="L92" s="3">
        <f t="shared" si="1"/>
        <v>1.34201333333333</v>
      </c>
    </row>
    <row r="93" spans="1:12">
      <c r="A93" s="2">
        <v>45754</v>
      </c>
      <c r="B93" t="s">
        <v>64</v>
      </c>
      <c r="C93">
        <v>12771</v>
      </c>
      <c r="D93">
        <v>74</v>
      </c>
      <c r="E93">
        <v>2.2</v>
      </c>
      <c r="F93">
        <v>5.3</v>
      </c>
      <c r="G93" t="s">
        <v>80</v>
      </c>
      <c r="H93" t="s">
        <v>92</v>
      </c>
      <c r="I93" t="s">
        <v>61</v>
      </c>
      <c r="J93" t="s">
        <v>96</v>
      </c>
      <c r="K93" t="s">
        <v>59</v>
      </c>
      <c r="L93" s="3">
        <f t="shared" si="1"/>
        <v>1.11000666666667</v>
      </c>
    </row>
    <row r="94" spans="1:12">
      <c r="A94" s="2">
        <v>45755</v>
      </c>
      <c r="B94" t="s">
        <v>82</v>
      </c>
      <c r="C94">
        <v>5175</v>
      </c>
      <c r="D94">
        <v>17</v>
      </c>
      <c r="E94">
        <v>0.8</v>
      </c>
      <c r="F94">
        <v>5.2</v>
      </c>
      <c r="G94" t="s">
        <v>73</v>
      </c>
      <c r="H94" t="s">
        <v>89</v>
      </c>
      <c r="I94" t="s">
        <v>78</v>
      </c>
      <c r="J94" t="s">
        <v>132</v>
      </c>
      <c r="K94" t="s">
        <v>63</v>
      </c>
      <c r="L94" s="3">
        <f t="shared" si="1"/>
        <v>0.473666666666667</v>
      </c>
    </row>
    <row r="95" spans="1:12">
      <c r="A95" s="2">
        <v>45756</v>
      </c>
      <c r="B95" t="s">
        <v>77</v>
      </c>
      <c r="C95">
        <v>2322</v>
      </c>
      <c r="D95">
        <v>57</v>
      </c>
      <c r="E95">
        <v>0.8</v>
      </c>
      <c r="F95">
        <v>7.2</v>
      </c>
      <c r="G95" t="s">
        <v>80</v>
      </c>
      <c r="H95" t="s">
        <v>56</v>
      </c>
      <c r="I95" t="s">
        <v>75</v>
      </c>
      <c r="J95" t="s">
        <v>104</v>
      </c>
      <c r="K95" t="s">
        <v>59</v>
      </c>
      <c r="L95" s="3">
        <f t="shared" si="1"/>
        <v>0.54288</v>
      </c>
    </row>
    <row r="96" spans="1:12">
      <c r="A96" s="2">
        <v>45757</v>
      </c>
      <c r="B96" t="s">
        <v>68</v>
      </c>
      <c r="C96">
        <v>4000</v>
      </c>
      <c r="D96">
        <v>56</v>
      </c>
      <c r="E96">
        <v>2.4</v>
      </c>
      <c r="F96">
        <v>5.7</v>
      </c>
      <c r="G96" t="s">
        <v>80</v>
      </c>
      <c r="H96" t="s">
        <v>92</v>
      </c>
      <c r="I96" t="s">
        <v>61</v>
      </c>
      <c r="J96" t="s">
        <v>124</v>
      </c>
      <c r="K96" t="s">
        <v>63</v>
      </c>
      <c r="L96" s="3">
        <f t="shared" si="1"/>
        <v>0.729166666666667</v>
      </c>
    </row>
    <row r="97" spans="1:12">
      <c r="A97" s="2">
        <v>45758</v>
      </c>
      <c r="B97" t="s">
        <v>64</v>
      </c>
      <c r="C97">
        <v>14692</v>
      </c>
      <c r="D97">
        <v>107</v>
      </c>
      <c r="E97">
        <v>3.1</v>
      </c>
      <c r="F97">
        <v>5.1</v>
      </c>
      <c r="G97" t="s">
        <v>69</v>
      </c>
      <c r="H97" t="s">
        <v>72</v>
      </c>
      <c r="I97" t="s">
        <v>78</v>
      </c>
      <c r="J97" t="s">
        <v>101</v>
      </c>
      <c r="K97" t="s">
        <v>59</v>
      </c>
      <c r="L97" s="3">
        <f t="shared" si="1"/>
        <v>1.38184666666667</v>
      </c>
    </row>
    <row r="98" spans="1:12">
      <c r="A98" s="2">
        <v>45759</v>
      </c>
      <c r="B98" t="s">
        <v>84</v>
      </c>
      <c r="C98">
        <v>6331</v>
      </c>
      <c r="D98">
        <v>90</v>
      </c>
      <c r="E98">
        <v>2</v>
      </c>
      <c r="F98">
        <v>6.6</v>
      </c>
      <c r="G98" t="s">
        <v>80</v>
      </c>
      <c r="H98" t="s">
        <v>74</v>
      </c>
      <c r="I98" t="s">
        <v>75</v>
      </c>
      <c r="J98" t="s">
        <v>104</v>
      </c>
      <c r="K98" t="s">
        <v>59</v>
      </c>
      <c r="L98" s="3">
        <f t="shared" si="1"/>
        <v>0.91824</v>
      </c>
    </row>
    <row r="99" spans="1:12">
      <c r="A99" s="2">
        <v>45760</v>
      </c>
      <c r="B99" t="s">
        <v>77</v>
      </c>
      <c r="C99">
        <v>8309</v>
      </c>
      <c r="D99">
        <v>67</v>
      </c>
      <c r="E99">
        <v>3.2</v>
      </c>
      <c r="F99">
        <v>7.5</v>
      </c>
      <c r="G99" t="s">
        <v>80</v>
      </c>
      <c r="H99" t="s">
        <v>74</v>
      </c>
      <c r="I99" t="s">
        <v>78</v>
      </c>
      <c r="J99" t="s">
        <v>133</v>
      </c>
      <c r="K99" t="s">
        <v>63</v>
      </c>
      <c r="L99" s="3">
        <f t="shared" si="1"/>
        <v>1.06319333333333</v>
      </c>
    </row>
    <row r="100" spans="1:12">
      <c r="A100" s="2">
        <v>45761</v>
      </c>
      <c r="B100" t="s">
        <v>54</v>
      </c>
      <c r="C100">
        <v>7296</v>
      </c>
      <c r="D100">
        <v>34</v>
      </c>
      <c r="E100">
        <v>2</v>
      </c>
      <c r="F100">
        <v>7.6</v>
      </c>
      <c r="G100" t="s">
        <v>80</v>
      </c>
      <c r="H100" t="s">
        <v>65</v>
      </c>
      <c r="I100" t="s">
        <v>61</v>
      </c>
      <c r="J100" t="s">
        <v>113</v>
      </c>
      <c r="K100" t="s">
        <v>63</v>
      </c>
      <c r="L100" s="3">
        <f t="shared" si="1"/>
        <v>0.795173333333333</v>
      </c>
    </row>
    <row r="101" spans="1:12">
      <c r="A101" s="2">
        <v>45762</v>
      </c>
      <c r="B101" t="s">
        <v>82</v>
      </c>
      <c r="C101">
        <v>7636</v>
      </c>
      <c r="D101">
        <v>62</v>
      </c>
      <c r="E101">
        <v>0.5</v>
      </c>
      <c r="F101">
        <v>8.6</v>
      </c>
      <c r="G101" t="s">
        <v>55</v>
      </c>
      <c r="H101" t="s">
        <v>72</v>
      </c>
      <c r="I101" t="s">
        <v>66</v>
      </c>
      <c r="J101" t="s">
        <v>103</v>
      </c>
      <c r="K101" t="s">
        <v>63</v>
      </c>
      <c r="L101" s="3">
        <f t="shared" si="1"/>
        <v>0.777106666666667</v>
      </c>
    </row>
    <row r="102" spans="1:12">
      <c r="A102" s="2">
        <v>45763</v>
      </c>
      <c r="B102" t="s">
        <v>82</v>
      </c>
      <c r="C102">
        <v>4366</v>
      </c>
      <c r="D102">
        <v>62</v>
      </c>
      <c r="E102">
        <v>2.3</v>
      </c>
      <c r="F102">
        <v>5.2</v>
      </c>
      <c r="G102" t="s">
        <v>55</v>
      </c>
      <c r="H102" t="s">
        <v>92</v>
      </c>
      <c r="I102" t="s">
        <v>75</v>
      </c>
      <c r="J102" t="s">
        <v>134</v>
      </c>
      <c r="K102" t="s">
        <v>59</v>
      </c>
      <c r="L102" s="3">
        <f t="shared" si="1"/>
        <v>0.741306666666667</v>
      </c>
    </row>
    <row r="103" spans="1:12">
      <c r="A103" s="2">
        <v>45764</v>
      </c>
      <c r="B103" t="s">
        <v>71</v>
      </c>
      <c r="C103">
        <v>4000</v>
      </c>
      <c r="D103">
        <v>64</v>
      </c>
      <c r="E103">
        <v>2.5</v>
      </c>
      <c r="F103">
        <v>8.7</v>
      </c>
      <c r="G103" t="s">
        <v>55</v>
      </c>
      <c r="H103" t="s">
        <v>92</v>
      </c>
      <c r="I103" t="s">
        <v>75</v>
      </c>
      <c r="J103" t="s">
        <v>135</v>
      </c>
      <c r="K103" t="s">
        <v>59</v>
      </c>
      <c r="L103" s="3">
        <f t="shared" si="1"/>
        <v>0.840833333333333</v>
      </c>
    </row>
    <row r="104" spans="1:12">
      <c r="A104" s="2">
        <v>45765</v>
      </c>
      <c r="B104" t="s">
        <v>84</v>
      </c>
      <c r="C104">
        <v>8601</v>
      </c>
      <c r="D104">
        <v>118</v>
      </c>
      <c r="E104">
        <v>1</v>
      </c>
      <c r="F104">
        <v>7.1</v>
      </c>
      <c r="G104" t="s">
        <v>73</v>
      </c>
      <c r="H104" t="s">
        <v>87</v>
      </c>
      <c r="I104" t="s">
        <v>61</v>
      </c>
      <c r="J104" t="s">
        <v>136</v>
      </c>
      <c r="K104" t="s">
        <v>63</v>
      </c>
      <c r="L104" s="3">
        <f t="shared" si="1"/>
        <v>1.01487333333333</v>
      </c>
    </row>
    <row r="105" spans="1:12">
      <c r="A105" s="2">
        <v>45766</v>
      </c>
      <c r="B105" t="s">
        <v>60</v>
      </c>
      <c r="C105">
        <v>4000</v>
      </c>
      <c r="D105">
        <v>48</v>
      </c>
      <c r="E105">
        <v>0.7</v>
      </c>
      <c r="F105">
        <v>4.4</v>
      </c>
      <c r="G105" t="s">
        <v>73</v>
      </c>
      <c r="H105" t="s">
        <v>65</v>
      </c>
      <c r="I105" t="s">
        <v>61</v>
      </c>
      <c r="J105" t="s">
        <v>137</v>
      </c>
      <c r="K105" t="s">
        <v>63</v>
      </c>
      <c r="L105" s="3">
        <f t="shared" si="1"/>
        <v>0.5</v>
      </c>
    </row>
    <row r="106" spans="1:12">
      <c r="A106" s="2">
        <v>45767</v>
      </c>
      <c r="B106" t="s">
        <v>64</v>
      </c>
      <c r="C106">
        <v>8460</v>
      </c>
      <c r="D106">
        <v>70</v>
      </c>
      <c r="E106">
        <v>2.9</v>
      </c>
      <c r="F106">
        <v>7.5</v>
      </c>
      <c r="G106" t="s">
        <v>80</v>
      </c>
      <c r="H106" t="s">
        <v>56</v>
      </c>
      <c r="I106" t="s">
        <v>75</v>
      </c>
      <c r="J106" t="s">
        <v>138</v>
      </c>
      <c r="K106" t="s">
        <v>63</v>
      </c>
      <c r="L106" s="3">
        <f t="shared" si="1"/>
        <v>1.04923333333333</v>
      </c>
    </row>
    <row r="107" spans="1:12">
      <c r="A107" s="2">
        <v>45769</v>
      </c>
      <c r="B107" t="s">
        <v>68</v>
      </c>
      <c r="C107">
        <v>6306</v>
      </c>
      <c r="D107">
        <v>26</v>
      </c>
      <c r="E107">
        <v>1</v>
      </c>
      <c r="F107">
        <v>6.8</v>
      </c>
      <c r="G107" t="s">
        <v>73</v>
      </c>
      <c r="H107" t="s">
        <v>92</v>
      </c>
      <c r="I107" t="s">
        <v>78</v>
      </c>
      <c r="J107" t="s">
        <v>129</v>
      </c>
      <c r="K107" t="s">
        <v>63</v>
      </c>
      <c r="L107" s="3">
        <f t="shared" si="1"/>
        <v>0.608906666666667</v>
      </c>
    </row>
    <row r="108" spans="1:12">
      <c r="A108" s="2">
        <v>45770</v>
      </c>
      <c r="B108" t="s">
        <v>77</v>
      </c>
      <c r="C108">
        <v>14514</v>
      </c>
      <c r="D108">
        <v>102</v>
      </c>
      <c r="E108">
        <v>0.5</v>
      </c>
      <c r="F108">
        <v>8.3</v>
      </c>
      <c r="G108" t="s">
        <v>55</v>
      </c>
      <c r="H108" t="s">
        <v>72</v>
      </c>
      <c r="I108" t="s">
        <v>78</v>
      </c>
      <c r="J108" t="s">
        <v>100</v>
      </c>
      <c r="K108" t="s">
        <v>59</v>
      </c>
      <c r="L108" s="3">
        <f t="shared" si="1"/>
        <v>1.17806</v>
      </c>
    </row>
    <row r="109" spans="1:12">
      <c r="A109" s="2">
        <v>45771</v>
      </c>
      <c r="B109" t="s">
        <v>64</v>
      </c>
      <c r="C109">
        <v>9480</v>
      </c>
      <c r="D109">
        <v>107</v>
      </c>
      <c r="E109">
        <v>3.2</v>
      </c>
      <c r="F109">
        <v>6.7</v>
      </c>
      <c r="G109" t="s">
        <v>73</v>
      </c>
      <c r="H109" t="s">
        <v>56</v>
      </c>
      <c r="I109" t="s">
        <v>78</v>
      </c>
      <c r="J109" t="s">
        <v>109</v>
      </c>
      <c r="K109" t="s">
        <v>59</v>
      </c>
      <c r="L109" s="3">
        <f t="shared" si="1"/>
        <v>1.22336666666667</v>
      </c>
    </row>
    <row r="110" spans="1:12">
      <c r="A110" s="2">
        <v>45773</v>
      </c>
      <c r="B110" t="s">
        <v>64</v>
      </c>
      <c r="C110">
        <v>5310</v>
      </c>
      <c r="D110">
        <v>48</v>
      </c>
      <c r="E110">
        <v>0.5</v>
      </c>
      <c r="F110">
        <v>4.3</v>
      </c>
      <c r="G110" t="s">
        <v>73</v>
      </c>
      <c r="H110" t="s">
        <v>74</v>
      </c>
      <c r="I110" t="s">
        <v>75</v>
      </c>
      <c r="J110" t="s">
        <v>139</v>
      </c>
      <c r="K110" t="s">
        <v>63</v>
      </c>
      <c r="L110" s="3">
        <f t="shared" si="1"/>
        <v>0.5299</v>
      </c>
    </row>
    <row r="111" spans="1:12">
      <c r="A111" s="2">
        <v>45774</v>
      </c>
      <c r="B111" t="s">
        <v>71</v>
      </c>
      <c r="C111">
        <v>8569</v>
      </c>
      <c r="D111">
        <v>34</v>
      </c>
      <c r="E111">
        <v>1.5</v>
      </c>
      <c r="F111">
        <v>6.6</v>
      </c>
      <c r="G111" t="s">
        <v>69</v>
      </c>
      <c r="H111" t="s">
        <v>72</v>
      </c>
      <c r="I111" t="s">
        <v>78</v>
      </c>
      <c r="J111" t="s">
        <v>132</v>
      </c>
      <c r="K111" t="s">
        <v>59</v>
      </c>
      <c r="L111" s="3">
        <f t="shared" si="1"/>
        <v>0.771093333333333</v>
      </c>
    </row>
    <row r="112" spans="1:12">
      <c r="A112" s="2">
        <v>45775</v>
      </c>
      <c r="B112" t="s">
        <v>68</v>
      </c>
      <c r="C112">
        <v>5888</v>
      </c>
      <c r="D112">
        <v>34</v>
      </c>
      <c r="E112">
        <v>1.3</v>
      </c>
      <c r="F112">
        <v>8.6</v>
      </c>
      <c r="G112" t="s">
        <v>80</v>
      </c>
      <c r="H112" t="s">
        <v>72</v>
      </c>
      <c r="I112" t="s">
        <v>57</v>
      </c>
      <c r="J112" t="s">
        <v>67</v>
      </c>
      <c r="K112" t="s">
        <v>59</v>
      </c>
      <c r="L112" s="3">
        <f t="shared" si="1"/>
        <v>0.693853333333333</v>
      </c>
    </row>
    <row r="113" spans="1:12">
      <c r="A113" s="2">
        <v>45776</v>
      </c>
      <c r="B113" t="s">
        <v>82</v>
      </c>
      <c r="C113">
        <v>13760</v>
      </c>
      <c r="D113">
        <v>52</v>
      </c>
      <c r="E113">
        <v>2.3</v>
      </c>
      <c r="F113">
        <v>8.9</v>
      </c>
      <c r="G113" t="s">
        <v>73</v>
      </c>
      <c r="H113" t="s">
        <v>72</v>
      </c>
      <c r="I113" t="s">
        <v>57</v>
      </c>
      <c r="J113" t="s">
        <v>140</v>
      </c>
      <c r="K113" t="s">
        <v>63</v>
      </c>
      <c r="L113" s="3">
        <f t="shared" si="1"/>
        <v>1.17623333333333</v>
      </c>
    </row>
    <row r="114" spans="1:12">
      <c r="A114" s="2">
        <v>45777</v>
      </c>
      <c r="B114" t="s">
        <v>84</v>
      </c>
      <c r="C114">
        <v>9327</v>
      </c>
      <c r="D114">
        <v>102</v>
      </c>
      <c r="E114">
        <v>2.4</v>
      </c>
      <c r="F114">
        <v>7</v>
      </c>
      <c r="G114" t="s">
        <v>55</v>
      </c>
      <c r="H114" t="s">
        <v>92</v>
      </c>
      <c r="I114" t="s">
        <v>75</v>
      </c>
      <c r="J114" t="s">
        <v>138</v>
      </c>
      <c r="K114" t="s">
        <v>63</v>
      </c>
      <c r="L114" s="3">
        <f t="shared" si="1"/>
        <v>1.12808</v>
      </c>
    </row>
    <row r="115" spans="12:12">
      <c r="L115" s="3">
        <f t="shared" si="1"/>
        <v>0</v>
      </c>
    </row>
  </sheetData>
  <conditionalFormatting sqref="F$1:F$1048576">
    <cfRule type="cellIs" dxfId="0" priority="5" operator="lessThanOrEqual">
      <formula>5</formula>
    </cfRule>
  </conditionalFormatting>
  <conditionalFormatting sqref="G$1:G$1048576">
    <cfRule type="cellIs" dxfId="0" priority="4" operator="equal">
      <formula>"Excellent"</formula>
    </cfRule>
  </conditionalFormatting>
  <conditionalFormatting sqref="L$1:L$1048576">
    <cfRule type="top10" dxfId="1" priority="3" rank="5"/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4"/>
  <sheetViews>
    <sheetView workbookViewId="0">
      <selection activeCell="B15" sqref="B15"/>
    </sheetView>
  </sheetViews>
  <sheetFormatPr defaultColWidth="9" defaultRowHeight="16.8" outlineLevelRow="3"/>
  <cols>
    <col min="1" max="1" width="21.7115384615385" customWidth="1"/>
  </cols>
  <sheetData>
    <row r="3" spans="1:1">
      <c r="A3" t="s">
        <v>141</v>
      </c>
    </row>
    <row r="4" spans="1:1">
      <c r="A4">
        <v>113</v>
      </c>
    </row>
  </sheetData>
  <pageMargins left="0.7" right="0.7" top="0.75" bottom="0.75" header="0.3" footer="0.3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2"/>
  <sheetViews>
    <sheetView workbookViewId="0">
      <selection activeCell="C20" sqref="C20"/>
    </sheetView>
  </sheetViews>
  <sheetFormatPr defaultColWidth="9" defaultRowHeight="16.8" outlineLevelCol="1"/>
  <cols>
    <col min="1" max="1" width="11.4230769230769" customWidth="1"/>
    <col min="2" max="2" width="14.1442307692308" customWidth="1"/>
  </cols>
  <sheetData>
    <row r="3" spans="1:2">
      <c r="A3" t="s">
        <v>49</v>
      </c>
      <c r="B3" t="s">
        <v>142</v>
      </c>
    </row>
    <row r="4" spans="1:2">
      <c r="A4" t="s">
        <v>87</v>
      </c>
      <c r="B4">
        <v>15</v>
      </c>
    </row>
    <row r="5" spans="1:2">
      <c r="A5" t="s">
        <v>92</v>
      </c>
      <c r="B5">
        <v>17</v>
      </c>
    </row>
    <row r="6" spans="1:2">
      <c r="A6" t="s">
        <v>65</v>
      </c>
      <c r="B6">
        <v>18</v>
      </c>
    </row>
    <row r="7" spans="1:2">
      <c r="A7" t="s">
        <v>72</v>
      </c>
      <c r="B7">
        <v>17</v>
      </c>
    </row>
    <row r="8" spans="1:2">
      <c r="A8" t="s">
        <v>56</v>
      </c>
      <c r="B8">
        <v>21</v>
      </c>
    </row>
    <row r="9" spans="1:2">
      <c r="A9" t="s">
        <v>89</v>
      </c>
      <c r="B9">
        <v>12</v>
      </c>
    </row>
    <row r="10" spans="1:2">
      <c r="A10" t="s">
        <v>74</v>
      </c>
      <c r="B10">
        <v>13</v>
      </c>
    </row>
    <row r="11" spans="1:1">
      <c r="A11" t="s">
        <v>143</v>
      </c>
    </row>
    <row r="12" spans="1:2">
      <c r="A12" t="s">
        <v>144</v>
      </c>
      <c r="B12">
        <v>113</v>
      </c>
    </row>
  </sheetData>
  <pageMargins left="0.7" right="0.7" top="0.75" bottom="0.75" header="0.3" footer="0.3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18"/>
  <sheetViews>
    <sheetView tabSelected="1" workbookViewId="0">
      <selection activeCell="D7" sqref="D7"/>
    </sheetView>
  </sheetViews>
  <sheetFormatPr defaultColWidth="9.14423076923077" defaultRowHeight="16.8" outlineLevelCol="1"/>
  <cols>
    <col min="1" max="1" width="11.4230769230769" customWidth="1"/>
    <col min="2" max="2" width="12.7115384615385" customWidth="1"/>
  </cols>
  <sheetData>
    <row r="3" spans="1:2">
      <c r="A3" t="s">
        <v>42</v>
      </c>
      <c r="B3" t="s">
        <v>145</v>
      </c>
    </row>
    <row r="4" spans="1:2">
      <c r="A4" t="s">
        <v>146</v>
      </c>
      <c r="B4">
        <v>9822</v>
      </c>
    </row>
    <row r="5" spans="1:2">
      <c r="A5" t="s">
        <v>147</v>
      </c>
      <c r="B5">
        <v>14550</v>
      </c>
    </row>
    <row r="6" spans="1:2">
      <c r="A6" t="s">
        <v>148</v>
      </c>
      <c r="B6">
        <v>8579</v>
      </c>
    </row>
    <row r="7" spans="1:2">
      <c r="A7" t="s">
        <v>149</v>
      </c>
      <c r="B7">
        <v>9055</v>
      </c>
    </row>
    <row r="8" spans="1:2">
      <c r="A8" t="s">
        <v>150</v>
      </c>
      <c r="B8">
        <v>14784</v>
      </c>
    </row>
    <row r="9" spans="1:2">
      <c r="A9" t="s">
        <v>151</v>
      </c>
      <c r="B9">
        <v>6359</v>
      </c>
    </row>
    <row r="10" spans="1:2">
      <c r="A10" t="s">
        <v>152</v>
      </c>
      <c r="B10">
        <v>3893</v>
      </c>
    </row>
    <row r="11" spans="1:2">
      <c r="A11" t="s">
        <v>153</v>
      </c>
      <c r="B11">
        <v>14261</v>
      </c>
    </row>
    <row r="12" spans="1:2">
      <c r="A12" t="s">
        <v>154</v>
      </c>
      <c r="B12">
        <v>12382</v>
      </c>
    </row>
    <row r="13" spans="1:2">
      <c r="A13" t="s">
        <v>155</v>
      </c>
      <c r="B13">
        <v>2198</v>
      </c>
    </row>
    <row r="14" spans="1:2">
      <c r="A14" t="s">
        <v>156</v>
      </c>
      <c r="B14">
        <v>12089</v>
      </c>
    </row>
    <row r="15" spans="1:2">
      <c r="A15" t="s">
        <v>157</v>
      </c>
      <c r="B15">
        <v>4039</v>
      </c>
    </row>
    <row r="16" spans="1:2">
      <c r="A16" t="s">
        <v>158</v>
      </c>
      <c r="B16">
        <v>13089</v>
      </c>
    </row>
    <row r="17" spans="1:2">
      <c r="A17" t="s">
        <v>159</v>
      </c>
      <c r="B17">
        <v>8541</v>
      </c>
    </row>
    <row r="18" spans="1:2">
      <c r="A18" t="s">
        <v>160</v>
      </c>
      <c r="B18">
        <v>8460</v>
      </c>
    </row>
    <row r="19" spans="1:2">
      <c r="A19" t="s">
        <v>161</v>
      </c>
      <c r="B19">
        <v>6306</v>
      </c>
    </row>
    <row r="20" spans="1:2">
      <c r="A20" t="s">
        <v>162</v>
      </c>
      <c r="B20">
        <v>2039</v>
      </c>
    </row>
    <row r="21" spans="1:2">
      <c r="A21" t="s">
        <v>163</v>
      </c>
      <c r="B21">
        <v>5310</v>
      </c>
    </row>
    <row r="22" spans="1:2">
      <c r="A22" t="s">
        <v>164</v>
      </c>
      <c r="B22">
        <v>10935</v>
      </c>
    </row>
    <row r="23" spans="1:2">
      <c r="A23" t="s">
        <v>165</v>
      </c>
      <c r="B23">
        <v>5500</v>
      </c>
    </row>
    <row r="24" spans="1:2">
      <c r="A24" t="s">
        <v>166</v>
      </c>
      <c r="B24">
        <v>8569</v>
      </c>
    </row>
    <row r="25" spans="1:2">
      <c r="A25" t="s">
        <v>167</v>
      </c>
      <c r="B25">
        <v>12422</v>
      </c>
    </row>
    <row r="26" spans="1:2">
      <c r="A26" s="1">
        <v>45658</v>
      </c>
      <c r="B26">
        <v>8770</v>
      </c>
    </row>
    <row r="27" spans="1:2">
      <c r="A27" s="1">
        <v>45660</v>
      </c>
      <c r="B27">
        <v>12596</v>
      </c>
    </row>
    <row r="28" spans="1:2">
      <c r="A28" s="1">
        <v>45661</v>
      </c>
      <c r="B28">
        <v>4000</v>
      </c>
    </row>
    <row r="29" spans="1:2">
      <c r="A29" s="1">
        <v>45662</v>
      </c>
      <c r="B29">
        <v>9013</v>
      </c>
    </row>
    <row r="30" spans="1:2">
      <c r="A30" s="1">
        <v>45664</v>
      </c>
      <c r="B30">
        <v>14603</v>
      </c>
    </row>
    <row r="31" spans="1:2">
      <c r="A31" s="1">
        <v>45666</v>
      </c>
      <c r="B31">
        <v>6758</v>
      </c>
    </row>
    <row r="32" spans="1:2">
      <c r="A32" s="1">
        <v>45667</v>
      </c>
      <c r="B32">
        <v>4604</v>
      </c>
    </row>
    <row r="33" spans="1:2">
      <c r="A33" s="1">
        <v>45669</v>
      </c>
      <c r="B33">
        <v>2363</v>
      </c>
    </row>
    <row r="34" spans="1:2">
      <c r="A34" s="1">
        <v>45670</v>
      </c>
      <c r="B34">
        <v>11414</v>
      </c>
    </row>
    <row r="35" spans="1:2">
      <c r="A35" s="1">
        <v>45671</v>
      </c>
      <c r="B35">
        <v>4000</v>
      </c>
    </row>
    <row r="36" spans="1:2">
      <c r="A36" s="1">
        <v>45672</v>
      </c>
      <c r="B36">
        <v>7030</v>
      </c>
    </row>
    <row r="37" spans="1:2">
      <c r="A37" s="1">
        <v>45673</v>
      </c>
      <c r="B37">
        <v>3353</v>
      </c>
    </row>
    <row r="38" spans="1:2">
      <c r="A38" s="1">
        <v>45674</v>
      </c>
      <c r="B38">
        <v>2354</v>
      </c>
    </row>
    <row r="39" spans="1:2">
      <c r="A39" s="1">
        <v>45675</v>
      </c>
      <c r="B39">
        <v>12947</v>
      </c>
    </row>
    <row r="40" spans="1:2">
      <c r="A40" s="1">
        <v>45677</v>
      </c>
      <c r="B40">
        <v>4476</v>
      </c>
    </row>
    <row r="41" spans="1:2">
      <c r="A41" s="1">
        <v>45678</v>
      </c>
      <c r="B41">
        <v>7787</v>
      </c>
    </row>
    <row r="42" spans="1:2">
      <c r="A42" s="1">
        <v>45679</v>
      </c>
      <c r="B42">
        <v>8900</v>
      </c>
    </row>
    <row r="43" spans="1:2">
      <c r="A43" s="1">
        <v>45680</v>
      </c>
      <c r="B43">
        <v>5699</v>
      </c>
    </row>
    <row r="44" spans="1:2">
      <c r="A44" s="1">
        <v>45681</v>
      </c>
      <c r="B44">
        <v>2456</v>
      </c>
    </row>
    <row r="45" spans="1:2">
      <c r="A45" s="1">
        <v>45682</v>
      </c>
      <c r="B45">
        <v>12427</v>
      </c>
    </row>
    <row r="46" spans="1:2">
      <c r="A46" s="1">
        <v>45683</v>
      </c>
      <c r="B46">
        <v>6393</v>
      </c>
    </row>
    <row r="47" spans="1:2">
      <c r="A47" s="1">
        <v>45685</v>
      </c>
      <c r="B47">
        <v>6588</v>
      </c>
    </row>
    <row r="48" spans="1:2">
      <c r="A48" s="1">
        <v>45686</v>
      </c>
      <c r="B48">
        <v>4233</v>
      </c>
    </row>
    <row r="49" spans="1:2">
      <c r="A49" s="1">
        <v>45688</v>
      </c>
      <c r="B49">
        <v>4000</v>
      </c>
    </row>
    <row r="50" spans="1:2">
      <c r="A50" s="1">
        <v>45689</v>
      </c>
      <c r="B50">
        <v>5646</v>
      </c>
    </row>
    <row r="51" spans="1:2">
      <c r="A51" s="1">
        <v>45690</v>
      </c>
      <c r="B51">
        <v>12352</v>
      </c>
    </row>
    <row r="52" spans="1:2">
      <c r="A52" s="1">
        <v>45692</v>
      </c>
      <c r="B52">
        <v>9808</v>
      </c>
    </row>
    <row r="53" spans="1:2">
      <c r="A53" s="1">
        <v>45693</v>
      </c>
      <c r="B53">
        <v>14275</v>
      </c>
    </row>
    <row r="54" spans="1:2">
      <c r="A54" s="1">
        <v>45697</v>
      </c>
      <c r="B54">
        <v>13238</v>
      </c>
    </row>
    <row r="55" spans="1:2">
      <c r="A55" s="1">
        <v>45699</v>
      </c>
      <c r="B55">
        <v>11317</v>
      </c>
    </row>
    <row r="56" spans="1:2">
      <c r="A56" s="1">
        <v>45700</v>
      </c>
      <c r="B56">
        <v>10367</v>
      </c>
    </row>
    <row r="57" spans="1:2">
      <c r="A57" s="1">
        <v>45701</v>
      </c>
      <c r="B57">
        <v>13824</v>
      </c>
    </row>
    <row r="58" spans="1:2">
      <c r="A58" s="1">
        <v>45703</v>
      </c>
      <c r="B58">
        <v>6986</v>
      </c>
    </row>
    <row r="59" spans="1:2">
      <c r="A59" s="1">
        <v>45704</v>
      </c>
      <c r="B59">
        <v>6661</v>
      </c>
    </row>
    <row r="60" spans="1:2">
      <c r="A60" s="1">
        <v>45706</v>
      </c>
      <c r="B60">
        <v>12078</v>
      </c>
    </row>
    <row r="61" spans="1:2">
      <c r="A61" s="1">
        <v>45707</v>
      </c>
      <c r="B61">
        <v>8088</v>
      </c>
    </row>
    <row r="62" spans="1:2">
      <c r="A62" s="1">
        <v>45708</v>
      </c>
      <c r="B62">
        <v>8119</v>
      </c>
    </row>
    <row r="63" spans="1:2">
      <c r="A63" s="1">
        <v>45709</v>
      </c>
      <c r="B63">
        <v>4000</v>
      </c>
    </row>
    <row r="64" spans="1:2">
      <c r="A64" s="1">
        <v>45710</v>
      </c>
      <c r="B64">
        <v>13204</v>
      </c>
    </row>
    <row r="65" spans="1:2">
      <c r="A65" s="1">
        <v>45711</v>
      </c>
      <c r="B65">
        <v>2853</v>
      </c>
    </row>
    <row r="66" spans="1:2">
      <c r="A66" s="1">
        <v>45713</v>
      </c>
      <c r="B66">
        <v>12648</v>
      </c>
    </row>
    <row r="67" spans="1:2">
      <c r="A67" s="1">
        <v>45714</v>
      </c>
      <c r="B67">
        <v>6624</v>
      </c>
    </row>
    <row r="68" spans="1:2">
      <c r="A68" s="1">
        <v>45716</v>
      </c>
      <c r="B68">
        <v>8690</v>
      </c>
    </row>
    <row r="69" spans="1:2">
      <c r="A69" s="1">
        <v>45717</v>
      </c>
      <c r="B69">
        <v>6044</v>
      </c>
    </row>
    <row r="70" spans="1:2">
      <c r="A70" s="1">
        <v>45718</v>
      </c>
      <c r="B70">
        <v>4000</v>
      </c>
    </row>
    <row r="71" spans="1:2">
      <c r="A71" s="1">
        <v>45719</v>
      </c>
      <c r="B71">
        <v>6030</v>
      </c>
    </row>
    <row r="72" spans="1:2">
      <c r="A72" s="1">
        <v>45720</v>
      </c>
      <c r="B72">
        <v>5761</v>
      </c>
    </row>
    <row r="73" spans="1:2">
      <c r="A73" s="1">
        <v>45722</v>
      </c>
      <c r="B73">
        <v>8850</v>
      </c>
    </row>
    <row r="74" spans="1:2">
      <c r="A74" s="1">
        <v>45723</v>
      </c>
      <c r="B74">
        <v>11661</v>
      </c>
    </row>
    <row r="75" spans="1:2">
      <c r="A75" s="1">
        <v>45725</v>
      </c>
      <c r="B75">
        <v>4378</v>
      </c>
    </row>
    <row r="76" spans="1:2">
      <c r="A76" s="1">
        <v>45727</v>
      </c>
      <c r="B76">
        <v>7370</v>
      </c>
    </row>
    <row r="77" spans="1:2">
      <c r="A77" s="1">
        <v>45728</v>
      </c>
      <c r="B77">
        <v>7729</v>
      </c>
    </row>
    <row r="78" spans="1:2">
      <c r="A78" s="1">
        <v>45729</v>
      </c>
      <c r="B78">
        <v>11185</v>
      </c>
    </row>
    <row r="79" spans="1:2">
      <c r="A79" s="1">
        <v>45730</v>
      </c>
      <c r="B79">
        <v>12054</v>
      </c>
    </row>
    <row r="80" spans="1:2">
      <c r="A80" s="1">
        <v>45732</v>
      </c>
      <c r="B80">
        <v>13862</v>
      </c>
    </row>
    <row r="81" spans="1:2">
      <c r="A81" s="1">
        <v>45733</v>
      </c>
      <c r="B81">
        <v>7816</v>
      </c>
    </row>
    <row r="82" spans="1:2">
      <c r="A82" s="1">
        <v>45734</v>
      </c>
      <c r="B82">
        <v>11265</v>
      </c>
    </row>
    <row r="83" spans="1:2">
      <c r="A83" s="1">
        <v>45736</v>
      </c>
      <c r="B83">
        <v>10810</v>
      </c>
    </row>
    <row r="84" spans="1:2">
      <c r="A84" s="1">
        <v>45737</v>
      </c>
      <c r="B84">
        <v>4891</v>
      </c>
    </row>
    <row r="85" spans="1:2">
      <c r="A85" s="1">
        <v>45738</v>
      </c>
      <c r="B85">
        <v>1577</v>
      </c>
    </row>
    <row r="86" spans="1:2">
      <c r="A86" s="1">
        <v>45739</v>
      </c>
      <c r="B86">
        <v>7484</v>
      </c>
    </row>
    <row r="87" spans="1:2">
      <c r="A87" s="1">
        <v>45740</v>
      </c>
      <c r="B87">
        <v>9889</v>
      </c>
    </row>
    <row r="88" spans="1:2">
      <c r="A88" s="1">
        <v>45741</v>
      </c>
      <c r="B88">
        <v>3704</v>
      </c>
    </row>
    <row r="89" spans="1:2">
      <c r="A89" s="1">
        <v>45742</v>
      </c>
      <c r="B89">
        <v>14929</v>
      </c>
    </row>
    <row r="90" spans="1:2">
      <c r="A90" s="1">
        <v>45743</v>
      </c>
      <c r="B90">
        <v>5256</v>
      </c>
    </row>
    <row r="91" spans="1:2">
      <c r="A91" s="1">
        <v>45744</v>
      </c>
      <c r="B91">
        <v>12897</v>
      </c>
    </row>
    <row r="92" spans="1:2">
      <c r="A92" s="1">
        <v>45746</v>
      </c>
      <c r="B92">
        <v>5646</v>
      </c>
    </row>
    <row r="93" spans="1:2">
      <c r="A93" s="1">
        <v>45747</v>
      </c>
      <c r="B93">
        <v>4572</v>
      </c>
    </row>
    <row r="94" spans="1:2">
      <c r="A94" s="1">
        <v>45748</v>
      </c>
      <c r="B94">
        <v>9470</v>
      </c>
    </row>
    <row r="95" spans="1:2">
      <c r="A95" s="1">
        <v>45750</v>
      </c>
      <c r="B95">
        <v>7088</v>
      </c>
    </row>
    <row r="96" spans="1:2">
      <c r="A96" s="1">
        <v>45751</v>
      </c>
      <c r="B96">
        <v>12904</v>
      </c>
    </row>
    <row r="97" spans="1:2">
      <c r="A97" s="1">
        <v>45752</v>
      </c>
      <c r="B97">
        <v>3565</v>
      </c>
    </row>
    <row r="98" spans="1:2">
      <c r="A98" s="1">
        <v>45753</v>
      </c>
      <c r="B98">
        <v>13842</v>
      </c>
    </row>
    <row r="99" spans="1:2">
      <c r="A99" s="1">
        <v>45754</v>
      </c>
      <c r="B99">
        <v>12771</v>
      </c>
    </row>
    <row r="100" spans="1:2">
      <c r="A100" s="1">
        <v>45755</v>
      </c>
      <c r="B100">
        <v>5175</v>
      </c>
    </row>
    <row r="101" spans="1:2">
      <c r="A101" s="1">
        <v>45756</v>
      </c>
      <c r="B101">
        <v>2322</v>
      </c>
    </row>
    <row r="102" spans="1:2">
      <c r="A102" s="1">
        <v>45757</v>
      </c>
      <c r="B102">
        <v>4000</v>
      </c>
    </row>
    <row r="103" spans="1:2">
      <c r="A103" s="1">
        <v>45758</v>
      </c>
      <c r="B103">
        <v>14692</v>
      </c>
    </row>
    <row r="104" spans="1:2">
      <c r="A104" s="1">
        <v>45759</v>
      </c>
      <c r="B104">
        <v>6331</v>
      </c>
    </row>
    <row r="105" spans="1:2">
      <c r="A105" s="1">
        <v>45760</v>
      </c>
      <c r="B105">
        <v>8309</v>
      </c>
    </row>
    <row r="106" spans="1:2">
      <c r="A106" s="1">
        <v>45761</v>
      </c>
      <c r="B106">
        <v>7296</v>
      </c>
    </row>
    <row r="107" spans="1:2">
      <c r="A107" s="1">
        <v>45762</v>
      </c>
      <c r="B107">
        <v>7636</v>
      </c>
    </row>
    <row r="108" spans="1:2">
      <c r="A108" s="1">
        <v>45763</v>
      </c>
      <c r="B108">
        <v>4366</v>
      </c>
    </row>
    <row r="109" spans="1:2">
      <c r="A109" s="1">
        <v>45764</v>
      </c>
      <c r="B109">
        <v>4000</v>
      </c>
    </row>
    <row r="110" spans="1:2">
      <c r="A110" s="1">
        <v>45765</v>
      </c>
      <c r="B110">
        <v>8601</v>
      </c>
    </row>
    <row r="111" spans="1:2">
      <c r="A111" s="1">
        <v>45766</v>
      </c>
      <c r="B111">
        <v>4000</v>
      </c>
    </row>
    <row r="112" spans="1:2">
      <c r="A112" s="1">
        <v>45770</v>
      </c>
      <c r="B112">
        <v>14514</v>
      </c>
    </row>
    <row r="113" spans="1:2">
      <c r="A113" s="1">
        <v>45771</v>
      </c>
      <c r="B113">
        <v>9480</v>
      </c>
    </row>
    <row r="114" spans="1:2">
      <c r="A114" s="1">
        <v>45775</v>
      </c>
      <c r="B114">
        <v>5888</v>
      </c>
    </row>
    <row r="115" spans="1:2">
      <c r="A115" s="1">
        <v>45776</v>
      </c>
      <c r="B115">
        <v>13760</v>
      </c>
    </row>
    <row r="116" spans="1:2">
      <c r="A116" s="1">
        <v>45777</v>
      </c>
      <c r="B116">
        <v>9327</v>
      </c>
    </row>
    <row r="117" spans="1:1">
      <c r="A117" t="s">
        <v>143</v>
      </c>
    </row>
    <row r="118" spans="1:2">
      <c r="A118" t="s">
        <v>144</v>
      </c>
      <c r="B118">
        <v>929721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D45FC2-6C8B-4716-8B65-BE24D822B2C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To Do</vt:lpstr>
      <vt:lpstr>Sample Wellness Dataset</vt:lpstr>
      <vt:lpstr>pivote table 1</vt:lpstr>
      <vt:lpstr>pivote table 2</vt:lpstr>
      <vt:lpstr>pivote 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Ahmed</dc:creator>
  <cp:lastModifiedBy>wwe3aaup</cp:lastModifiedBy>
  <dcterms:created xsi:type="dcterms:W3CDTF">2025-09-15T01:22:00Z</dcterms:created>
  <dcterms:modified xsi:type="dcterms:W3CDTF">2026-01-15T16:55:48Z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CAE366E211D79C8CF4FF6869F6BAC3FD_42</vt:lpwstr>
  </property>
  <property fmtid="{D5CDD505-2E9C-101B-9397-08002B2CF9AE}" pid="3" name="KSOProductBuildVer">
    <vt:lpwstr>1033-12.1.23153.23153</vt:lpwstr>
  </property>
</Properties>
</file>