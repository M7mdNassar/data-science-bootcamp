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40" firstSheet="4" activeTab="7"/>
  </bookViews>
  <sheets>
    <sheet name="Cleaned Data" sheetId="2" r:id="rId1"/>
    <sheet name="KPIs" sheetId="3" r:id="rId2"/>
    <sheet name="Top 10 Highest Performing" sheetId="5" r:id="rId3"/>
    <sheet name="Department Vise attendance" sheetId="8" r:id="rId4"/>
    <sheet name="Age Distribution" sheetId="10" r:id="rId5"/>
    <sheet name="Gender Distribution" sheetId="11" r:id="rId6"/>
    <sheet name="VLOOKUP" sheetId="9" r:id="rId7"/>
    <sheet name="Dashboard" sheetId="7" r:id="rId8"/>
  </sheets>
  <definedNames>
    <definedName name="Slicer_GraduationYear">#N/A</definedName>
    <definedName name="Slicer_Department">#N/A</definedName>
    <definedName name="_xlnm._FilterDatabase" localSheetId="0" hidden="1">'Cleaned Data'!$F$1:$F$201</definedName>
    <definedName name="Slicer_Department1">#N/A</definedName>
    <definedName name="Slicer_Gender">#N/A</definedName>
    <definedName name="Slicer_Age">#N/A</definedName>
  </definedNames>
  <calcPr calcId="191029"/>
  <pivotCaches>
    <pivotCache cacheId="0" r:id="rId9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<sst xmlns="http://schemas.openxmlformats.org/spreadsheetml/2006/main" count="1061" uniqueCount="427">
  <si>
    <t>StudentID</t>
  </si>
  <si>
    <t>Name</t>
  </si>
  <si>
    <t>Age</t>
  </si>
  <si>
    <t>Email</t>
  </si>
  <si>
    <t>Department</t>
  </si>
  <si>
    <t>GPA</t>
  </si>
  <si>
    <t>GraduationYear</t>
  </si>
  <si>
    <t>Attendance</t>
  </si>
  <si>
    <t>Mode of Study</t>
  </si>
  <si>
    <t>Gender</t>
  </si>
  <si>
    <t>David Palmer</t>
  </si>
  <si>
    <t>sean43@hotmail.com</t>
  </si>
  <si>
    <t>Mathematics</t>
  </si>
  <si>
    <t>FULL TIME</t>
  </si>
  <si>
    <t>Male</t>
  </si>
  <si>
    <t>Andrew Roach</t>
  </si>
  <si>
    <t>vbecker@harvey.com</t>
  </si>
  <si>
    <t>Chemistry</t>
  </si>
  <si>
    <t>Jonathan Gonzalez</t>
  </si>
  <si>
    <t>hollydavis@gmail.com</t>
  </si>
  <si>
    <t>Physics</t>
  </si>
  <si>
    <t>Female</t>
  </si>
  <si>
    <t>Kenneth Morrow</t>
  </si>
  <si>
    <t>ganderson@wheeler-atkins.info</t>
  </si>
  <si>
    <t>Kaitlyn Martinez</t>
  </si>
  <si>
    <t>hayesdiane@gmail.com</t>
  </si>
  <si>
    <t>Tiffany Wolf</t>
  </si>
  <si>
    <t>qanderson@taylor.com</t>
  </si>
  <si>
    <t>James Reyes</t>
  </si>
  <si>
    <t>drodriguez@nguyen-cooper.info</t>
  </si>
  <si>
    <t>Samantha Sellers</t>
  </si>
  <si>
    <t>michelle27@hubbard-webster.com</t>
  </si>
  <si>
    <t>Michael Kim</t>
  </si>
  <si>
    <t>jacksonhannah@miles.com</t>
  </si>
  <si>
    <t>Computer Science</t>
  </si>
  <si>
    <t>Emily Davis</t>
  </si>
  <si>
    <t>george02@hotmail.com</t>
  </si>
  <si>
    <t>Adam Evans</t>
  </si>
  <si>
    <t>bryantmargaret@hernandez.com</t>
  </si>
  <si>
    <t>Alejandra Galloway</t>
  </si>
  <si>
    <t>danielpowers@schmidt.com</t>
  </si>
  <si>
    <t>Cindy Johnston</t>
  </si>
  <si>
    <t>james96@webb.org</t>
  </si>
  <si>
    <t>Taylor Krueger II</t>
  </si>
  <si>
    <t>hleon@smith.net</t>
  </si>
  <si>
    <t>Kimberly Vang</t>
  </si>
  <si>
    <t>carolyn34@yahoo.com</t>
  </si>
  <si>
    <t>Alex Allen</t>
  </si>
  <si>
    <t>shawkaren@smith.net</t>
  </si>
  <si>
    <t>Dawn Caldwell</t>
  </si>
  <si>
    <t>kelly96@gmail.com</t>
  </si>
  <si>
    <t>Connie Cline</t>
  </si>
  <si>
    <t>patelmercedes@green.com</t>
  </si>
  <si>
    <t>Christine Smith</t>
  </si>
  <si>
    <t>nicholasmejia@hotmail.com</t>
  </si>
  <si>
    <t>PART TIME</t>
  </si>
  <si>
    <t>Dana Burke</t>
  </si>
  <si>
    <t>davismichael@yahoo.com</t>
  </si>
  <si>
    <t>Suzanne Lopez</t>
  </si>
  <si>
    <t>thomasbennett@gmail.com</t>
  </si>
  <si>
    <t>Meagan Thompson</t>
  </si>
  <si>
    <t>robert13@gmail.com</t>
  </si>
  <si>
    <t>Erica Welch</t>
  </si>
  <si>
    <t>hernandezbrent@delgado-terry.com</t>
  </si>
  <si>
    <t>Debra Reilly</t>
  </si>
  <si>
    <t>amy78@jackson.com</t>
  </si>
  <si>
    <t>Rachel Hill</t>
  </si>
  <si>
    <t>elizabeth41@hill-johnson.com</t>
  </si>
  <si>
    <t>Lauren Hill</t>
  </si>
  <si>
    <t>timothy00@lopez.com</t>
  </si>
  <si>
    <t>Biology</t>
  </si>
  <si>
    <t>Andrea Castro</t>
  </si>
  <si>
    <t>valvarez@hotmail.com</t>
  </si>
  <si>
    <t>Sarah Cruz</t>
  </si>
  <si>
    <t>melissa92@hicks.com</t>
  </si>
  <si>
    <t>Teresa Patrick PhD</t>
  </si>
  <si>
    <t>hbrooks@nelson-bennett.info</t>
  </si>
  <si>
    <t>Brittany Thompson</t>
  </si>
  <si>
    <t>chavezallison@yahoo.com</t>
  </si>
  <si>
    <t>Sean Wells</t>
  </si>
  <si>
    <t>barreracourtney@nguyen.com</t>
  </si>
  <si>
    <t>Robert Simmons</t>
  </si>
  <si>
    <t>daniel00@gmail.com</t>
  </si>
  <si>
    <t>William Holt</t>
  </si>
  <si>
    <t>warrensmith@yahoo.com</t>
  </si>
  <si>
    <t>Brandon Garcia</t>
  </si>
  <si>
    <t>brandon58@cummings-johnson.biz</t>
  </si>
  <si>
    <t>Alexander Jones</t>
  </si>
  <si>
    <t>emily28@hotmail.com</t>
  </si>
  <si>
    <t>William Anderson</t>
  </si>
  <si>
    <t>jacob29@gmail.com</t>
  </si>
  <si>
    <t>Shawna Glover</t>
  </si>
  <si>
    <t>alison62@barrett.com</t>
  </si>
  <si>
    <t>Susan Galvan</t>
  </si>
  <si>
    <t>theresa04@gmail.com</t>
  </si>
  <si>
    <t>Jason King</t>
  </si>
  <si>
    <t>oliviawalls@hotmail.com</t>
  </si>
  <si>
    <t>Alexander Simmons</t>
  </si>
  <si>
    <t>jrodriguez@cox.info</t>
  </si>
  <si>
    <t>James Moore</t>
  </si>
  <si>
    <t>daniel72@long.com</t>
  </si>
  <si>
    <t>Frank Garza</t>
  </si>
  <si>
    <t>jennifer82@cruz.com</t>
  </si>
  <si>
    <t>Cynthia Parker DVM</t>
  </si>
  <si>
    <t>jasminelewis@washington.com</t>
  </si>
  <si>
    <t>Robert Smith</t>
  </si>
  <si>
    <t>amanda74@gmail.com</t>
  </si>
  <si>
    <t>Marie Valdez</t>
  </si>
  <si>
    <t>xwarner@nelson.com</t>
  </si>
  <si>
    <t>Patty Duke</t>
  </si>
  <si>
    <t>sparksanna@gmail.com</t>
  </si>
  <si>
    <t>Teresa Lucas</t>
  </si>
  <si>
    <t>epatel@edwards-smith.info</t>
  </si>
  <si>
    <t>Melanie Lowe</t>
  </si>
  <si>
    <t>nicolepruitt@bell-gibson.org</t>
  </si>
  <si>
    <t>Isaiah Morales</t>
  </si>
  <si>
    <t>lutzjason@neal.biz</t>
  </si>
  <si>
    <t>Connor Fry</t>
  </si>
  <si>
    <t>masseytom@gmail.com</t>
  </si>
  <si>
    <t>Autumn Nguyen</t>
  </si>
  <si>
    <t>john53@hotmail.com</t>
  </si>
  <si>
    <t>Jasmin Pena</t>
  </si>
  <si>
    <t>ajackson@hotmail.com</t>
  </si>
  <si>
    <t>Mrs. Carol Williams MD</t>
  </si>
  <si>
    <t>janice01@yahoo.com</t>
  </si>
  <si>
    <t>Andrew Lutz</t>
  </si>
  <si>
    <t>patrick16@yahoo.com</t>
  </si>
  <si>
    <t>Julie Martin</t>
  </si>
  <si>
    <t>angelawilliams@gmail.com</t>
  </si>
  <si>
    <t>Lisa Brown</t>
  </si>
  <si>
    <t>annette64@gmail.com</t>
  </si>
  <si>
    <t>Holly King</t>
  </si>
  <si>
    <t>williamsjack@randolph.com</t>
  </si>
  <si>
    <t>Ricky Sanders</t>
  </si>
  <si>
    <t>buckleyandrew@gmail.com</t>
  </si>
  <si>
    <t>Gary Taylor</t>
  </si>
  <si>
    <t>veronicarogers@yahoo.com</t>
  </si>
  <si>
    <t>Arthur Thornton</t>
  </si>
  <si>
    <t>kirstenowen@yahoo.com</t>
  </si>
  <si>
    <t>Eric Leonard</t>
  </si>
  <si>
    <t>theresarosales@gmail.com</t>
  </si>
  <si>
    <t>William Smith</t>
  </si>
  <si>
    <t>daniel93@lee-morris.com</t>
  </si>
  <si>
    <t>Daniel Daniel</t>
  </si>
  <si>
    <t>christianbrown@yahoo.com</t>
  </si>
  <si>
    <t>Joel Nicholson</t>
  </si>
  <si>
    <t>michaelpratt@murray.net</t>
  </si>
  <si>
    <t>Benjamin Burke</t>
  </si>
  <si>
    <t>colemary@cochran.net</t>
  </si>
  <si>
    <t>Brandi Roberts</t>
  </si>
  <si>
    <t>joshua76@yahoo.com</t>
  </si>
  <si>
    <t>Patrick Anderson</t>
  </si>
  <si>
    <t>meganlewis@butler-bright.com</t>
  </si>
  <si>
    <t>Jerry Butler</t>
  </si>
  <si>
    <t>sherri94@hines.net</t>
  </si>
  <si>
    <t>Cynthia Garrett</t>
  </si>
  <si>
    <t>rhall@gmail.com</t>
  </si>
  <si>
    <t>Carrie Hall</t>
  </si>
  <si>
    <t>stewartlori@yahoo.com</t>
  </si>
  <si>
    <t>Paul Brown</t>
  </si>
  <si>
    <t>uyoder@miller.com</t>
  </si>
  <si>
    <t>William Villarreal</t>
  </si>
  <si>
    <t>petersoncheryl@davis-bush.com</t>
  </si>
  <si>
    <t>Randy Pittman</t>
  </si>
  <si>
    <t>robin33@knapp.com</t>
  </si>
  <si>
    <t>Alexandra Roth</t>
  </si>
  <si>
    <t>kristin46@hotmail.com</t>
  </si>
  <si>
    <t>Stephanie Mitchell</t>
  </si>
  <si>
    <t>michellemoody@williams.com</t>
  </si>
  <si>
    <t>Michelle Kemp</t>
  </si>
  <si>
    <t>susanwilliams@hotmail.com</t>
  </si>
  <si>
    <t>Corey Hicks</t>
  </si>
  <si>
    <t>fosterglen@gmail.com</t>
  </si>
  <si>
    <t>Melinda Hancock</t>
  </si>
  <si>
    <t>linda93@gmail.com</t>
  </si>
  <si>
    <t>Julian Smith</t>
  </si>
  <si>
    <t>joseph78@gmail.com</t>
  </si>
  <si>
    <t>Brooke Davis</t>
  </si>
  <si>
    <t>millerkevin@white.com</t>
  </si>
  <si>
    <t>Diane Williams</t>
  </si>
  <si>
    <t>zmclean@boyd.net</t>
  </si>
  <si>
    <t>Stephanie Beck</t>
  </si>
  <si>
    <t>rwinters@hotmail.com</t>
  </si>
  <si>
    <t>Joe Kim</t>
  </si>
  <si>
    <t>salinaschristine@gmail.com</t>
  </si>
  <si>
    <t>Tammy Byrd</t>
  </si>
  <si>
    <t>phillipsmith@gmail.com</t>
  </si>
  <si>
    <t>Scott Gomez</t>
  </si>
  <si>
    <t>jacksonjulie@estrada.org</t>
  </si>
  <si>
    <t>Sean Davis</t>
  </si>
  <si>
    <t>tina80@miller-navarro.com</t>
  </si>
  <si>
    <t>Luis Hunter</t>
  </si>
  <si>
    <t>uschultz@palmer-lambert.biz</t>
  </si>
  <si>
    <t>Rachel Mahoney MD</t>
  </si>
  <si>
    <t>teresamitchell@hernandez.net</t>
  </si>
  <si>
    <t>Christina Woodward</t>
  </si>
  <si>
    <t>juan08@yahoo.com</t>
  </si>
  <si>
    <t>Shawna Moore</t>
  </si>
  <si>
    <t>joseyoung@richardson.net</t>
  </si>
  <si>
    <t>Stacy Jones</t>
  </si>
  <si>
    <t>currymelissa@coleman-meza.info</t>
  </si>
  <si>
    <t>Ms. Susan Suarez</t>
  </si>
  <si>
    <t>amanda13@smith.org</t>
  </si>
  <si>
    <t>Donna Briggs</t>
  </si>
  <si>
    <t>avalenzuela@norris-wood.org</t>
  </si>
  <si>
    <t>Tiffany Russell</t>
  </si>
  <si>
    <t>kimberly95@gmail.com</t>
  </si>
  <si>
    <t>Shawn Phillips</t>
  </si>
  <si>
    <t>mbass@hotmail.com</t>
  </si>
  <si>
    <t>Peter Wilson</t>
  </si>
  <si>
    <t>qcantu@woods.info</t>
  </si>
  <si>
    <t>Joe Bernard</t>
  </si>
  <si>
    <t>kimberly88@herring.info</t>
  </si>
  <si>
    <t>Brittany Hamilton</t>
  </si>
  <si>
    <t>smithkaren@yahoo.com</t>
  </si>
  <si>
    <t>Maria Rogers</t>
  </si>
  <si>
    <t>reneemartinez@hotmail.com</t>
  </si>
  <si>
    <t>Rebecca Miller</t>
  </si>
  <si>
    <t>michaelconner@hotmail.com</t>
  </si>
  <si>
    <t>Bryan Velazquez</t>
  </si>
  <si>
    <t>bpowell@gmail.com</t>
  </si>
  <si>
    <t>William Montgomery</t>
  </si>
  <si>
    <t>chavezryan@smith.com</t>
  </si>
  <si>
    <t>Robert Berg</t>
  </si>
  <si>
    <t>stephensbrenda@perez.com</t>
  </si>
  <si>
    <t>Peter White</t>
  </si>
  <si>
    <t>goodwinrachel@burke.org</t>
  </si>
  <si>
    <t>Ashley Garcia</t>
  </si>
  <si>
    <t>daviscory@yahoo.com</t>
  </si>
  <si>
    <t>Brandon Smith</t>
  </si>
  <si>
    <t>ortizjoseph@moore.com</t>
  </si>
  <si>
    <t>Kristen Orozco</t>
  </si>
  <si>
    <t>vbonilla@ho.com</t>
  </si>
  <si>
    <t>Joanna Logan</t>
  </si>
  <si>
    <t>yflores@brooks.info</t>
  </si>
  <si>
    <t>Mark Harper</t>
  </si>
  <si>
    <t>mikayla15@chavez.com</t>
  </si>
  <si>
    <t>Jaime Hanson</t>
  </si>
  <si>
    <t>whitechristine@gonzalez.info</t>
  </si>
  <si>
    <t>Johnathan Morris</t>
  </si>
  <si>
    <t>cassiemcdonald@gmail.com</t>
  </si>
  <si>
    <t>Jeffrey Sosa</t>
  </si>
  <si>
    <t>nhardin@thomas.com</t>
  </si>
  <si>
    <t>Mitchell Sharp</t>
  </si>
  <si>
    <t>blackbrandi@gmail.com</t>
  </si>
  <si>
    <t>Jose Peters</t>
  </si>
  <si>
    <t>zrowe@morales.net</t>
  </si>
  <si>
    <t>Jeffrey Torres</t>
  </si>
  <si>
    <t>yvonnemiller@robinson.com</t>
  </si>
  <si>
    <t>Noah Lee</t>
  </si>
  <si>
    <t>olucas@cline-robinson.com</t>
  </si>
  <si>
    <t>Jeremy Graham</t>
  </si>
  <si>
    <t>dcontreras@hotmail.com</t>
  </si>
  <si>
    <t>Mary Harrison</t>
  </si>
  <si>
    <t>tylerbaldwin@yahoo.com</t>
  </si>
  <si>
    <t>Meghan Roy</t>
  </si>
  <si>
    <t>ystevens@yahoo.com</t>
  </si>
  <si>
    <t>Kevin Moore</t>
  </si>
  <si>
    <t>michaelarroyo@guerrero.com</t>
  </si>
  <si>
    <t>Pedro Roth</t>
  </si>
  <si>
    <t>knightkelly@miller-wong.org</t>
  </si>
  <si>
    <t>Holly Donaldson</t>
  </si>
  <si>
    <t>katherine18@hammond.info</t>
  </si>
  <si>
    <t>Patricia Boyer</t>
  </si>
  <si>
    <t>fcabrera@haynes-clark.com</t>
  </si>
  <si>
    <t>Alexander Mccarty</t>
  </si>
  <si>
    <t>sandra21@burnett-gutierrez.com</t>
  </si>
  <si>
    <t>Michael Baldwin DDS</t>
  </si>
  <si>
    <t>joshuagibbs@ross.biz</t>
  </si>
  <si>
    <t>Anna Harper</t>
  </si>
  <si>
    <t>marcpatel@gmail.com</t>
  </si>
  <si>
    <t>Steve Green</t>
  </si>
  <si>
    <t>gabrielbrown@hotmail.com</t>
  </si>
  <si>
    <t>Edwin Boyd</t>
  </si>
  <si>
    <t>aaron93@yahoo.com</t>
  </si>
  <si>
    <t>Emily Chambers</t>
  </si>
  <si>
    <t>bridgessavannah@yahoo.com</t>
  </si>
  <si>
    <t>Hunter Martinez</t>
  </si>
  <si>
    <t>sandy22@rollins.com</t>
  </si>
  <si>
    <t>Victor Moss</t>
  </si>
  <si>
    <t>morgan52@taylor.com</t>
  </si>
  <si>
    <t>Kelly Lucas</t>
  </si>
  <si>
    <t>schwartztina@yahoo.com</t>
  </si>
  <si>
    <t>Reginald Richardson</t>
  </si>
  <si>
    <t>bakerjeremy@young-jones.info</t>
  </si>
  <si>
    <t>Patrick Sanchez</t>
  </si>
  <si>
    <t>smithamanda@johnson.org</t>
  </si>
  <si>
    <t>Michelle Chen DDS</t>
  </si>
  <si>
    <t>rebeccapreston@young.info</t>
  </si>
  <si>
    <t>Richard Sherman</t>
  </si>
  <si>
    <t>alexandra82@yahoo.com</t>
  </si>
  <si>
    <t>Robert Williams</t>
  </si>
  <si>
    <t>salvarado@yahoo.com</t>
  </si>
  <si>
    <t>Samuel Alexander</t>
  </si>
  <si>
    <t>iherring@solis.com</t>
  </si>
  <si>
    <t>Anthony Graham</t>
  </si>
  <si>
    <t>anamartin@hotmail.com</t>
  </si>
  <si>
    <t>Dr. Lynn Hoffman</t>
  </si>
  <si>
    <t>jonathangarner@yahoo.com</t>
  </si>
  <si>
    <t>Miss April Howard</t>
  </si>
  <si>
    <t>brusso@hotmail.com</t>
  </si>
  <si>
    <t>Tyler Rodriguez</t>
  </si>
  <si>
    <t>cruzjohn@hotmail.com</t>
  </si>
  <si>
    <t>Kevin Bowman</t>
  </si>
  <si>
    <t>brownronald@clay.com</t>
  </si>
  <si>
    <t>Christopher Henry</t>
  </si>
  <si>
    <t>steelejohn@nguyen.com</t>
  </si>
  <si>
    <t>Joshua Richardson</t>
  </si>
  <si>
    <t>stephenanderson@gmail.com</t>
  </si>
  <si>
    <t>Amy Washington</t>
  </si>
  <si>
    <t>stephen13@miller.com</t>
  </si>
  <si>
    <t>Amanda Cook</t>
  </si>
  <si>
    <t>hannahdillon@giles.com</t>
  </si>
  <si>
    <t>Scott Montes</t>
  </si>
  <si>
    <t>vanessameyers@hotmail.com</t>
  </si>
  <si>
    <t>Sean Thomas</t>
  </si>
  <si>
    <t>april31@gmail.com</t>
  </si>
  <si>
    <t>Amanda Roberts</t>
  </si>
  <si>
    <t>michael36@yahoo.com</t>
  </si>
  <si>
    <t>Joanna Rose</t>
  </si>
  <si>
    <t>timothyfuentes@gmail.com</t>
  </si>
  <si>
    <t>Willie Russell</t>
  </si>
  <si>
    <t>susan10@yahoo.com</t>
  </si>
  <si>
    <t>Peter Day</t>
  </si>
  <si>
    <t>smaynard@cole.com</t>
  </si>
  <si>
    <t>Matthew Sherman</t>
  </si>
  <si>
    <t>woodmonica@gmail.com</t>
  </si>
  <si>
    <t>Stephanie Moore DDS</t>
  </si>
  <si>
    <t>cynthia58@yahoo.com</t>
  </si>
  <si>
    <t>Brandon Fletcher</t>
  </si>
  <si>
    <t>juliepeterson@pearson-shepherd.net</t>
  </si>
  <si>
    <t>Ryan Thomas</t>
  </si>
  <si>
    <t>whitakerjoseph@yahoo.com</t>
  </si>
  <si>
    <t>Mrs. Amber Luna DVM</t>
  </si>
  <si>
    <t>zgray@salazar.net</t>
  </si>
  <si>
    <t>Crystal Fry</t>
  </si>
  <si>
    <t>xstewart@huff.org</t>
  </si>
  <si>
    <t>William Le</t>
  </si>
  <si>
    <t>morr@gmail.com</t>
  </si>
  <si>
    <t>Antonio Carter</t>
  </si>
  <si>
    <t>jameslisa@morrison.com</t>
  </si>
  <si>
    <t>Beth Abbott</t>
  </si>
  <si>
    <t>jhill@bell.com</t>
  </si>
  <si>
    <t>Christine Howard</t>
  </si>
  <si>
    <t>brianna99@hotmail.com</t>
  </si>
  <si>
    <t>Chelsea Arellano</t>
  </si>
  <si>
    <t>gregory11@russell-morris.com</t>
  </si>
  <si>
    <t>Stacy Rodriguez</t>
  </si>
  <si>
    <t>tranjulia@romero.biz</t>
  </si>
  <si>
    <t>Shannon Green</t>
  </si>
  <si>
    <t>ogordon@guerrero-holt.com</t>
  </si>
  <si>
    <t>Donna Reed</t>
  </si>
  <si>
    <t>dennisconner@sellers.com</t>
  </si>
  <si>
    <t>Michelle Wang</t>
  </si>
  <si>
    <t>mikecollins@gmail.com</t>
  </si>
  <si>
    <t>Thomas Barker</t>
  </si>
  <si>
    <t>mmelendez@lewis.com</t>
  </si>
  <si>
    <t>Kimberly Cline</t>
  </si>
  <si>
    <t>davismatthew@gmail.com</t>
  </si>
  <si>
    <t>Clinton Weber</t>
  </si>
  <si>
    <t>bhiggins@jenkins-stevenson.com</t>
  </si>
  <si>
    <t>Lindsay Murphy</t>
  </si>
  <si>
    <t>tammyjones@clayton.info</t>
  </si>
  <si>
    <t>Mallory May</t>
  </si>
  <si>
    <t>morrisonlucas@gmail.com</t>
  </si>
  <si>
    <t>Larry Torres</t>
  </si>
  <si>
    <t>rachel70@hotmail.com</t>
  </si>
  <si>
    <t>Tina Mccormick</t>
  </si>
  <si>
    <t>zthompson@lee.com</t>
  </si>
  <si>
    <t>Brian Sampson</t>
  </si>
  <si>
    <t>jamesgeorge@yahoo.com</t>
  </si>
  <si>
    <t>Christine Park</t>
  </si>
  <si>
    <t>goodwinerica@brown.com</t>
  </si>
  <si>
    <t>Vicki Lewis</t>
  </si>
  <si>
    <t>bperry@hotmail.com</t>
  </si>
  <si>
    <t>Matthew Black</t>
  </si>
  <si>
    <t>lewisbetty@hotmail.com</t>
  </si>
  <si>
    <t>Felicia Lee</t>
  </si>
  <si>
    <t>torresjacqueline@chambers-woodard.net</t>
  </si>
  <si>
    <t>James Black</t>
  </si>
  <si>
    <t>sgarza@nunez.net</t>
  </si>
  <si>
    <t>James Mitchell</t>
  </si>
  <si>
    <t>gracejohnson@yahoo.com</t>
  </si>
  <si>
    <t>Alexander Mcconnell</t>
  </si>
  <si>
    <t>corysmith@anderson-anderson.com</t>
  </si>
  <si>
    <t>Danielle Clark</t>
  </si>
  <si>
    <t>crystal02@schmidt.com</t>
  </si>
  <si>
    <t>Robert Foster</t>
  </si>
  <si>
    <t>teresamoreno@rubio-sanchez.com</t>
  </si>
  <si>
    <t>Gary Clark</t>
  </si>
  <si>
    <t>alyssawagner@gmail.com</t>
  </si>
  <si>
    <t>Cynthia Martin</t>
  </si>
  <si>
    <t>caitlynmoody@adams.com</t>
  </si>
  <si>
    <t>Brianna Cunningham</t>
  </si>
  <si>
    <t>alexanderfernando@gmail.com</t>
  </si>
  <si>
    <t>Dr. Jesus Johnson</t>
  </si>
  <si>
    <t>xharris@hotmail.com</t>
  </si>
  <si>
    <t>Jessica Jarvis</t>
  </si>
  <si>
    <t>nhurst@hester.info</t>
  </si>
  <si>
    <t>Theresa Hensley</t>
  </si>
  <si>
    <t>evance@moore.org</t>
  </si>
  <si>
    <t>James Mckee</t>
  </si>
  <si>
    <t>andersonmichelle@yahoo.com</t>
  </si>
  <si>
    <t>Jonathan Blanchard</t>
  </si>
  <si>
    <t>jonathanfoster@sanchez.com</t>
  </si>
  <si>
    <t>Melissa Estrada</t>
  </si>
  <si>
    <t>bowmanmatthew@martin-duran.org</t>
  </si>
  <si>
    <t>John Gallagher</t>
  </si>
  <si>
    <t>elliottsheryl@wilcox.net</t>
  </si>
  <si>
    <t>Catherine Velasquez</t>
  </si>
  <si>
    <t>fsutton@gmail.com</t>
  </si>
  <si>
    <t>Joyce Thomas</t>
  </si>
  <si>
    <t>zanderson@barrera.net</t>
  </si>
  <si>
    <t>Theresa Hughes</t>
  </si>
  <si>
    <t>mstanley@yahoo.com</t>
  </si>
  <si>
    <t>Steven Golden</t>
  </si>
  <si>
    <t>nvasquez@yahoo.com</t>
  </si>
  <si>
    <t>Miss April Smith</t>
  </si>
  <si>
    <t>logansanchez@manning.com</t>
  </si>
  <si>
    <t>Total Students</t>
  </si>
  <si>
    <t>Average GPA</t>
  </si>
  <si>
    <t>Average Attendance</t>
  </si>
  <si>
    <t>Count of StudentID</t>
  </si>
  <si>
    <t>Grand Total</t>
  </si>
  <si>
    <t>Average of GPA</t>
  </si>
  <si>
    <t>Average of Attendance</t>
  </si>
  <si>
    <t>Highest Attendance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</si>
</sst>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Aptos Narrow"/>
      <charset val="134"/>
      <scheme val="minor"/>
    </font>
    <font>
      <sz val="6"/>
      <color theme="1"/>
      <name val="Aptos Narrow"/>
      <charset val="134"/>
      <scheme val="minor"/>
    </font>
    <font>
      <sz val="12"/>
      <color rgb="FFF9FAFB"/>
      <name val="Aptos Narrow"/>
      <charset val="134"/>
      <scheme val="minor"/>
    </font>
    <font>
      <sz val="6"/>
      <color rgb="FFC0B9B3"/>
      <name val="Aptos Narrow"/>
      <charset val="134"/>
      <scheme val="minor"/>
    </font>
    <font>
      <b/>
      <sz val="12"/>
      <color rgb="FFC0B9B3"/>
      <name val="Aptos Narrow"/>
      <charset val="134"/>
      <scheme val="minor"/>
    </font>
    <font>
      <sz val="16"/>
      <color theme="0"/>
      <name val="Aptos Narrow"/>
      <charset val="134"/>
      <scheme val="minor"/>
    </font>
    <font>
      <sz val="16"/>
      <color theme="1"/>
      <name val="Aptos Narrow"/>
      <charset val="134"/>
      <scheme val="minor"/>
    </font>
    <font>
      <b/>
      <sz val="14"/>
      <color theme="5"/>
      <name val="Aptos Narrow"/>
      <charset val="134"/>
      <scheme val="minor"/>
    </font>
    <font>
      <b/>
      <sz val="14"/>
      <color theme="0"/>
      <name val="Aptos Narrow"/>
      <charset val="134"/>
      <scheme val="minor"/>
    </font>
    <font>
      <sz val="14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B9B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8" fillId="5" borderId="5" applyNumberFormat="0" applyAlignment="0" applyProtection="0"/>
    <xf numFmtId="0" fontId="19" fillId="6" borderId="6" applyNumberFormat="0" applyAlignment="0" applyProtection="0"/>
    <xf numFmtId="0" fontId="20" fillId="6" borderId="5" applyNumberFormat="0" applyAlignment="0" applyProtection="0"/>
    <xf numFmtId="0" fontId="21" fillId="7" borderId="7" applyNumberFormat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7" fillId="3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7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7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7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7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16">
    <xf numFmtId="0" fontId="0" fillId="0" borderId="0" xfId="0"/>
    <xf numFmtId="0" fontId="1" fillId="2" borderId="0" xfId="0" applyFont="1" applyFill="1" applyBorder="1"/>
    <xf numFmtId="0" fontId="2" fillId="2" borderId="0" xfId="0" applyFont="1" applyFill="1" applyAlignment="1">
      <alignment horizontal="left" wrapText="1" indent="1"/>
    </xf>
    <xf numFmtId="58" fontId="1" fillId="2" borderId="0" xfId="0" applyNumberFormat="1" applyFont="1" applyFill="1" applyBorder="1"/>
    <xf numFmtId="0" fontId="3" fillId="2" borderId="0" xfId="0" applyFont="1" applyFill="1" applyBorder="1"/>
    <xf numFmtId="0" fontId="4" fillId="2" borderId="0" xfId="0" applyFont="1" applyFill="1"/>
    <xf numFmtId="0" fontId="5" fillId="3" borderId="0" xfId="0" applyFont="1" applyFill="1"/>
    <xf numFmtId="0" fontId="6" fillId="0" borderId="0" xfId="0" applyFont="1"/>
    <xf numFmtId="1" fontId="0" fillId="0" borderId="0" xfId="0" applyNumberFormat="1"/>
    <xf numFmtId="2" fontId="0" fillId="0" borderId="0" xfId="0" applyNumberFormat="1"/>
    <xf numFmtId="0" fontId="7" fillId="0" borderId="0" xfId="0" applyFont="1"/>
    <xf numFmtId="0" fontId="8" fillId="3" borderId="0" xfId="0" applyFont="1" applyFill="1"/>
    <xf numFmtId="0" fontId="9" fillId="0" borderId="0" xfId="0" applyFont="1"/>
    <xf numFmtId="2" fontId="9" fillId="0" borderId="0" xfId="0" applyNumberFormat="1" applyFont="1"/>
    <xf numFmtId="0" fontId="0" fillId="0" borderId="0" xfId="0" applyFill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1" formatCode="0"/>
    </dxf>
    <dxf>
      <numFmt numFmtId="2" formatCode="0.00"/>
    </dxf>
    <dxf>
      <numFmt numFmtId="49" formatCode="@"/>
    </dxf>
    <dxf>
      <fill>
        <patternFill patternType="solid">
          <bgColor theme="5"/>
        </patternFill>
      </fill>
    </dxf>
  </dxfs>
  <tableStyles count="0" defaultTableStyle="TableStyleMedium2" defaultPivotStyle="PivotStyleLight16"/>
  <colors>
    <mruColors>
      <color rgb="00C0B9B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microsoft.com/office/2007/relationships/slicerCache" Target="slicerCaches/slicerCache5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[Students_Records_for_Analysis222.xlsx]KPIs!Graduation Distribution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KPIs!$D$9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KPIs!$C$10:$C$17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KPIs!$D$10:$D$17</c:f>
              <c:numCache>
                <c:formatCode>General</c:formatCode>
                <c:ptCount val="7"/>
                <c:pt idx="0">
                  <c:v>23</c:v>
                </c:pt>
                <c:pt idx="1">
                  <c:v>30</c:v>
                </c:pt>
                <c:pt idx="2">
                  <c:v>23</c:v>
                </c:pt>
                <c:pt idx="3">
                  <c:v>36</c:v>
                </c:pt>
                <c:pt idx="4">
                  <c:v>25</c:v>
                </c:pt>
                <c:pt idx="5">
                  <c:v>26</c:v>
                </c:pt>
                <c:pt idx="6">
                  <c:v>37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661180904"/>
        <c:axId val="806241470"/>
      </c:lineChart>
      <c:catAx>
        <c:axId val="661180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241470"/>
        <c:crosses val="autoZero"/>
        <c:auto val="1"/>
        <c:lblAlgn val="ctr"/>
        <c:lblOffset val="100"/>
        <c:noMultiLvlLbl val="0"/>
      </c:catAx>
      <c:valAx>
        <c:axId val="8062414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18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fa1bc7-817e-4f12-a872-48c0a3e35dd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 Records -  by Mohammad Nassar.xlsx]KPIs!Department Analysis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KPIs!$D$27</c:f>
              <c:strCache>
                <c:ptCount val="1"/>
                <c:pt idx="0">
                  <c:v>Count of StudentID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KPIs!$C$28:$C$33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KPIs!$D$28:$D$33</c:f>
              <c:numCache>
                <c:formatCode>General</c:formatCode>
                <c:ptCount val="5"/>
                <c:pt idx="0">
                  <c:v>27</c:v>
                </c:pt>
                <c:pt idx="1">
                  <c:v>46</c:v>
                </c:pt>
                <c:pt idx="2">
                  <c:v>46</c:v>
                </c:pt>
                <c:pt idx="3">
                  <c:v>30</c:v>
                </c:pt>
                <c:pt idx="4">
                  <c:v>51</c:v>
                </c:pt>
              </c:numCache>
            </c:numRef>
          </c:val>
        </c:ser>
        <c:ser>
          <c:idx val="1"/>
          <c:order val="1"/>
          <c:tx>
            <c:strRef>
              <c:f>KPIs!$E$27</c:f>
              <c:strCache>
                <c:ptCount val="1"/>
                <c:pt idx="0">
                  <c:v>Average of GPA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KPIs!$C$28:$C$33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KPIs!$E$28:$E$33</c:f>
              <c:numCache>
                <c:formatCode>0.00</c:formatCode>
                <c:ptCount val="5"/>
                <c:pt idx="0">
                  <c:v>2.91555555555556</c:v>
                </c:pt>
                <c:pt idx="1">
                  <c:v>2.93630434782609</c:v>
                </c:pt>
                <c:pt idx="2">
                  <c:v>3.04434782608696</c:v>
                </c:pt>
                <c:pt idx="3">
                  <c:v>3.08066666666667</c:v>
                </c:pt>
                <c:pt idx="4">
                  <c:v>3.12392156862745</c:v>
                </c:pt>
              </c:numCache>
            </c:numRef>
          </c:val>
        </c:ser>
        <c:ser>
          <c:idx val="2"/>
          <c:order val="2"/>
          <c:tx>
            <c:strRef>
              <c:f>KPIs!$F$27</c:f>
              <c:strCache>
                <c:ptCount val="1"/>
                <c:pt idx="0">
                  <c:v>Average of Attendance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KPIs!$C$28:$C$33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KPIs!$F$28:$F$33</c:f>
              <c:numCache>
                <c:formatCode>0.00</c:formatCode>
                <c:ptCount val="5"/>
                <c:pt idx="0">
                  <c:v>79.0814814814815</c:v>
                </c:pt>
                <c:pt idx="1">
                  <c:v>82.8780434782609</c:v>
                </c:pt>
                <c:pt idx="2">
                  <c:v>79.7406521739131</c:v>
                </c:pt>
                <c:pt idx="3">
                  <c:v>79.452</c:v>
                </c:pt>
                <c:pt idx="4">
                  <c:v>78.3658823529411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18876531"/>
        <c:axId val="436752137"/>
      </c:barChart>
      <c:catAx>
        <c:axId val="3188765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752137"/>
        <c:crosses val="autoZero"/>
        <c:auto val="1"/>
        <c:lblAlgn val="ctr"/>
        <c:lblOffset val="100"/>
        <c:noMultiLvlLbl val="0"/>
      </c:catAx>
      <c:valAx>
        <c:axId val="4367521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8765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 Records -  by Mohammad Nassar.xlsx]Department Vise attendance!Highest Attendance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of attendance for each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Vise attendance'!$D$6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Vise attendance'!$C$7:$C$12</c:f>
              <c:strCache>
                <c:ptCount val="5"/>
                <c:pt idx="0">
                  <c:v>Chemistry</c:v>
                </c:pt>
                <c:pt idx="1">
                  <c:v>Computer Science</c:v>
                </c:pt>
                <c:pt idx="2">
                  <c:v>Mathematics</c:v>
                </c:pt>
                <c:pt idx="3">
                  <c:v>Biology</c:v>
                </c:pt>
                <c:pt idx="4">
                  <c:v>Physics</c:v>
                </c:pt>
              </c:strCache>
            </c:strRef>
          </c:cat>
          <c:val>
            <c:numRef>
              <c:f>'Department Vise attendance'!$D$7:$D$12</c:f>
              <c:numCache>
                <c:formatCode>0.00</c:formatCode>
                <c:ptCount val="5"/>
                <c:pt idx="0">
                  <c:v>82.8780434782609</c:v>
                </c:pt>
                <c:pt idx="1">
                  <c:v>79.7406521739131</c:v>
                </c:pt>
                <c:pt idx="2">
                  <c:v>79.452</c:v>
                </c:pt>
                <c:pt idx="3">
                  <c:v>79.0814814814815</c:v>
                </c:pt>
                <c:pt idx="4">
                  <c:v>78.3658823529411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17764641"/>
        <c:axId val="756898159"/>
      </c:barChart>
      <c:catAx>
        <c:axId val="4177646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6898159"/>
        <c:crosses val="autoZero"/>
        <c:auto val="1"/>
        <c:lblAlgn val="ctr"/>
        <c:lblOffset val="100"/>
        <c:noMultiLvlLbl val="0"/>
      </c:catAx>
      <c:valAx>
        <c:axId val="75689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7646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ea4821-50f0-4cfe-8c2a-0c9349e7ff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[Students_Records_for_Analysis222.xlsx]Age Distribution!Count Ages For Each Graduation Year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Distribution'!$B$1:$B$2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Distribution'!$B$3:$B$10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</c:ser>
        <c:ser>
          <c:idx val="1"/>
          <c:order val="1"/>
          <c:tx>
            <c:strRef>
              <c:f>'Age Distribution'!$C$1:$C$2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Distribution'!$C$3:$C$10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</c:ser>
        <c:ser>
          <c:idx val="2"/>
          <c:order val="2"/>
          <c:tx>
            <c:strRef>
              <c:f>'Age Distribution'!$D$1:$D$2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Distribution'!$D$3:$D$10</c:f>
              <c:numCache>
                <c:formatCode>General</c:formatCode>
                <c:ptCount val="7"/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6</c:v>
                </c:pt>
                <c:pt idx="6">
                  <c:v>5</c:v>
                </c:pt>
              </c:numCache>
            </c:numRef>
          </c:val>
        </c:ser>
        <c:ser>
          <c:idx val="3"/>
          <c:order val="3"/>
          <c:tx>
            <c:strRef>
              <c:f>'Age Distribution'!$E$1:$E$2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Distribution'!$E$3:$E$10</c:f>
              <c:numCache>
                <c:formatCode>General</c:formatCode>
                <c:ptCount val="7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</c:numCache>
            </c:numRef>
          </c:val>
        </c:ser>
        <c:ser>
          <c:idx val="4"/>
          <c:order val="4"/>
          <c:tx>
            <c:strRef>
              <c:f>'Age Distribution'!$F$1:$F$2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Distribution'!$F$3:$F$10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</c:ser>
        <c:ser>
          <c:idx val="5"/>
          <c:order val="5"/>
          <c:tx>
            <c:strRef>
              <c:f>'Age Distribution'!$G$1:$G$2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Distribution'!$G$3:$G$10</c:f>
              <c:numCache>
                <c:formatCode>General</c:formatCode>
                <c:ptCount val="7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ser>
          <c:idx val="6"/>
          <c:order val="6"/>
          <c:tx>
            <c:strRef>
              <c:f>'Age Distribution'!$H$1:$H$2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Distribution'!$H$3:$H$10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</c:ser>
        <c:ser>
          <c:idx val="7"/>
          <c:order val="7"/>
          <c:tx>
            <c:strRef>
              <c:f>'Age Distribution'!$I$1:$I$2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Distribution'!$I$3:$I$10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703180"/>
        <c:axId val="427838115"/>
      </c:barChart>
      <c:catAx>
        <c:axId val="2577031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838115"/>
        <c:crosses val="autoZero"/>
        <c:auto val="1"/>
        <c:lblAlgn val="ctr"/>
        <c:lblOffset val="100"/>
        <c:noMultiLvlLbl val="0"/>
      </c:catAx>
      <c:valAx>
        <c:axId val="4278381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7031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b6e54e-d024-4657-97ef-a7a9f84336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[Students_Records_for_Analysis222.xlsx]Age Distribution!Count Ages For Each Graduation Year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students for each year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'Age Distribution'!$B$1:$B$2</c:f>
              <c:strCache>
                <c:ptCount val="1"/>
                <c:pt idx="0">
                  <c:v>18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Distribution'!$B$3:$B$10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</c:ser>
        <c:ser>
          <c:idx val="1"/>
          <c:order val="1"/>
          <c:tx>
            <c:strRef>
              <c:f>'Age Distribution'!$C$1:$C$2</c:f>
              <c:strCache>
                <c:ptCount val="1"/>
                <c:pt idx="0">
                  <c:v>19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Distribution'!$C$3:$C$10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</c:ser>
        <c:ser>
          <c:idx val="2"/>
          <c:order val="2"/>
          <c:tx>
            <c:strRef>
              <c:f>'Age Distribution'!$D$1:$D$2</c:f>
              <c:strCache>
                <c:ptCount val="1"/>
                <c:pt idx="0">
                  <c:v>20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Distribution'!$D$3:$D$10</c:f>
              <c:numCache>
                <c:formatCode>General</c:formatCode>
                <c:ptCount val="7"/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6</c:v>
                </c:pt>
                <c:pt idx="6">
                  <c:v>5</c:v>
                </c:pt>
              </c:numCache>
            </c:numRef>
          </c:val>
        </c:ser>
        <c:ser>
          <c:idx val="3"/>
          <c:order val="3"/>
          <c:tx>
            <c:strRef>
              <c:f>'Age Distribution'!$E$1:$E$2</c:f>
              <c:strCache>
                <c:ptCount val="1"/>
                <c:pt idx="0">
                  <c:v>21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Distribution'!$E$3:$E$10</c:f>
              <c:numCache>
                <c:formatCode>General</c:formatCode>
                <c:ptCount val="7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</c:numCache>
            </c:numRef>
          </c:val>
        </c:ser>
        <c:ser>
          <c:idx val="4"/>
          <c:order val="4"/>
          <c:tx>
            <c:strRef>
              <c:f>'Age Distribution'!$F$1:$F$2</c:f>
              <c:strCache>
                <c:ptCount val="1"/>
                <c:pt idx="0">
                  <c:v>22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Distribution'!$F$3:$F$10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</c:ser>
        <c:ser>
          <c:idx val="5"/>
          <c:order val="5"/>
          <c:tx>
            <c:strRef>
              <c:f>'Age Distribution'!$G$1:$G$2</c:f>
              <c:strCache>
                <c:ptCount val="1"/>
                <c:pt idx="0">
                  <c:v>23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Distribution'!$G$3:$G$10</c:f>
              <c:numCache>
                <c:formatCode>General</c:formatCode>
                <c:ptCount val="7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ser>
          <c:idx val="6"/>
          <c:order val="6"/>
          <c:tx>
            <c:strRef>
              <c:f>'Age Distribution'!$H$1:$H$2</c:f>
              <c:strCache>
                <c:ptCount val="1"/>
                <c:pt idx="0">
                  <c:v>24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Distribution'!$H$3:$H$10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</c:ser>
        <c:ser>
          <c:idx val="7"/>
          <c:order val="7"/>
          <c:tx>
            <c:strRef>
              <c:f>'Age Distribution'!$I$1:$I$2</c:f>
              <c:strCache>
                <c:ptCount val="1"/>
                <c:pt idx="0">
                  <c:v>25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6">
                    <a:lumMod val="50000"/>
                    <a:alpha val="30000"/>
                  </a:schemeClr>
                </a:outerShdw>
              </a:effectLst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60000"/>
                    <a:lumMod val="50000"/>
                    <a:alpha val="30000"/>
                  </a:scheme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Distribution'!$I$3:$I$10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 Records -  by Mohammad Nassar.xlsx]Gender Distribution!Gender Distribution</c:name>
    <c:fmtId val="0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'Gender Distribution'!$B$4:$B$5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Distribution'!$A$6:$A$11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'Gender Distribution'!$B$6:$B$11</c:f>
              <c:numCache>
                <c:formatCode>General</c:formatCode>
                <c:ptCount val="5"/>
                <c:pt idx="0">
                  <c:v>11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25</c:v>
                </c:pt>
              </c:numCache>
            </c:numRef>
          </c:val>
        </c:ser>
        <c:ser>
          <c:idx val="1"/>
          <c:order val="1"/>
          <c:tx>
            <c:strRef>
              <c:f>'Gender Distribution'!$C$4:$C$5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Distribution'!$A$6:$A$11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'Gender Distribution'!$C$6:$C$11</c:f>
              <c:numCache>
                <c:formatCode>General</c:formatCode>
                <c:ptCount val="5"/>
                <c:pt idx="0">
                  <c:v>16</c:v>
                </c:pt>
                <c:pt idx="1">
                  <c:v>29</c:v>
                </c:pt>
                <c:pt idx="2">
                  <c:v>28</c:v>
                </c:pt>
                <c:pt idx="3">
                  <c:v>19</c:v>
                </c:pt>
                <c:pt idx="4">
                  <c:v>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47539980"/>
        <c:axId val="995400481"/>
      </c:barChart>
      <c:catAx>
        <c:axId val="7475399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400481"/>
        <c:crosses val="autoZero"/>
        <c:auto val="1"/>
        <c:lblAlgn val="ctr"/>
        <c:lblOffset val="100"/>
        <c:noMultiLvlLbl val="0"/>
      </c:catAx>
      <c:valAx>
        <c:axId val="9954004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539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514c1f-1af0-4b9f-8bec-15c43fc452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 Records -  by Mohammad Nassar.xlsx]Department Vise attendance!Highest Attendance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of attendance for each department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Vise attendance'!$D$6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'Department Vise attendance'!$C$7:$C$12</c:f>
              <c:strCache>
                <c:ptCount val="5"/>
                <c:pt idx="0">
                  <c:v>Chemistry</c:v>
                </c:pt>
                <c:pt idx="1">
                  <c:v>Computer Science</c:v>
                </c:pt>
                <c:pt idx="2">
                  <c:v>Mathematics</c:v>
                </c:pt>
                <c:pt idx="3">
                  <c:v>Biology</c:v>
                </c:pt>
                <c:pt idx="4">
                  <c:v>Physics</c:v>
                </c:pt>
              </c:strCache>
            </c:strRef>
          </c:cat>
          <c:val>
            <c:numRef>
              <c:f>'Department Vise attendance'!$D$7:$D$12</c:f>
              <c:numCache>
                <c:formatCode>0.00</c:formatCode>
                <c:ptCount val="5"/>
                <c:pt idx="0">
                  <c:v>82.8780434782609</c:v>
                </c:pt>
                <c:pt idx="1">
                  <c:v>79.7406521739131</c:v>
                </c:pt>
                <c:pt idx="2">
                  <c:v>79.452</c:v>
                </c:pt>
                <c:pt idx="3">
                  <c:v>79.0814814814815</c:v>
                </c:pt>
                <c:pt idx="4">
                  <c:v>78.3658823529411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17764641"/>
        <c:axId val="756898159"/>
      </c:barChart>
      <c:catAx>
        <c:axId val="4177646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6898159"/>
        <c:crosses val="autoZero"/>
        <c:auto val="1"/>
        <c:lblAlgn val="ctr"/>
        <c:lblOffset val="100"/>
        <c:noMultiLvlLbl val="0"/>
      </c:catAx>
      <c:valAx>
        <c:axId val="75689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77646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ef0505-af92-4d6a-bbf1-e20c5ddb460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[Students_Records_for_Analysis222.xlsx]KPIs!Graduation Distribution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3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3600"/>
              <a:t>Number of graduation students for each year</a:t>
            </a:r>
            <a:endParaRPr sz="36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KPIs!$D$9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KPIs!$C$10:$C$17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KPIs!$D$10:$D$17</c:f>
              <c:numCache>
                <c:formatCode>General</c:formatCode>
                <c:ptCount val="7"/>
                <c:pt idx="0">
                  <c:v>23</c:v>
                </c:pt>
                <c:pt idx="1">
                  <c:v>30</c:v>
                </c:pt>
                <c:pt idx="2">
                  <c:v>23</c:v>
                </c:pt>
                <c:pt idx="3">
                  <c:v>36</c:v>
                </c:pt>
                <c:pt idx="4">
                  <c:v>25</c:v>
                </c:pt>
                <c:pt idx="5">
                  <c:v>26</c:v>
                </c:pt>
                <c:pt idx="6">
                  <c:v>37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661180904"/>
        <c:axId val="806241470"/>
      </c:lineChart>
      <c:catAx>
        <c:axId val="6611809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241470"/>
        <c:crosses val="autoZero"/>
        <c:auto val="1"/>
        <c:lblAlgn val="ctr"/>
        <c:lblOffset val="100"/>
        <c:noMultiLvlLbl val="0"/>
      </c:catAx>
      <c:valAx>
        <c:axId val="8062414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118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a7f518-7aac-4da6-be58-23db86b039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[Students_Records_for_Analysis222.xlsx]Age Distribution!Count Ages For Each Graduation Year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Distribution'!$B$1:$B$2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Distribution'!$B$3:$B$10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6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</c:ser>
        <c:ser>
          <c:idx val="1"/>
          <c:order val="1"/>
          <c:tx>
            <c:strRef>
              <c:f>'Age Distribution'!$C$1:$C$2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Distribution'!$C$3:$C$10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</c:ser>
        <c:ser>
          <c:idx val="2"/>
          <c:order val="2"/>
          <c:tx>
            <c:strRef>
              <c:f>'Age Distribution'!$D$1:$D$2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Distribution'!$D$3:$D$10</c:f>
              <c:numCache>
                <c:formatCode>General</c:formatCode>
                <c:ptCount val="7"/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6</c:v>
                </c:pt>
                <c:pt idx="6">
                  <c:v>5</c:v>
                </c:pt>
              </c:numCache>
            </c:numRef>
          </c:val>
        </c:ser>
        <c:ser>
          <c:idx val="3"/>
          <c:order val="3"/>
          <c:tx>
            <c:strRef>
              <c:f>'Age Distribution'!$E$1:$E$2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Distribution'!$E$3:$E$10</c:f>
              <c:numCache>
                <c:formatCode>General</c:formatCode>
                <c:ptCount val="7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4</c:v>
                </c:pt>
                <c:pt idx="6">
                  <c:v>6</c:v>
                </c:pt>
              </c:numCache>
            </c:numRef>
          </c:val>
        </c:ser>
        <c:ser>
          <c:idx val="4"/>
          <c:order val="4"/>
          <c:tx>
            <c:strRef>
              <c:f>'Age Distribution'!$F$1:$F$2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Distribution'!$F$3:$F$10</c:f>
              <c:numCache>
                <c:formatCode>General</c:formatCode>
                <c:ptCount val="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</c:ser>
        <c:ser>
          <c:idx val="5"/>
          <c:order val="5"/>
          <c:tx>
            <c:strRef>
              <c:f>'Age Distribution'!$G$1:$G$2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Distribution'!$G$3:$G$10</c:f>
              <c:numCache>
                <c:formatCode>General</c:formatCode>
                <c:ptCount val="7"/>
                <c:pt idx="0">
                  <c:v>2</c:v>
                </c:pt>
                <c:pt idx="1">
                  <c:v>6</c:v>
                </c:pt>
                <c:pt idx="2">
                  <c:v>3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</c:ser>
        <c:ser>
          <c:idx val="6"/>
          <c:order val="6"/>
          <c:tx>
            <c:strRef>
              <c:f>'Age Distribution'!$H$1:$H$2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Distribution'!$H$3:$H$10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</c:numCache>
            </c:numRef>
          </c:val>
        </c:ser>
        <c:ser>
          <c:idx val="7"/>
          <c:order val="7"/>
          <c:tx>
            <c:strRef>
              <c:f>'Age Distribution'!$I$1:$I$2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'Age Distribution'!$A$3:$A$10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cat>
          <c:val>
            <c:numRef>
              <c:f>'Age Distribution'!$I$3:$I$10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3</c:v>
                </c:pt>
                <c:pt idx="5">
                  <c:v>1</c:v>
                </c:pt>
                <c:pt idx="6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703180"/>
        <c:axId val="427838115"/>
      </c:barChart>
      <c:catAx>
        <c:axId val="2577031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7838115"/>
        <c:crosses val="autoZero"/>
        <c:auto val="1"/>
        <c:lblAlgn val="ctr"/>
        <c:lblOffset val="100"/>
        <c:noMultiLvlLbl val="0"/>
      </c:catAx>
      <c:valAx>
        <c:axId val="4278381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77031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4360e90-4205-4944-a60e-280cd1621b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 Records -  by Mohammad Nassar.xlsx]Gender Distribution!Gender Distribution</c:name>
    <c:fmtId val="4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'Gender Distribution'!$B$4:$B$5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Distribution'!$A$6:$A$11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'Gender Distribution'!$B$6:$B$11</c:f>
              <c:numCache>
                <c:formatCode>General</c:formatCode>
                <c:ptCount val="5"/>
                <c:pt idx="0">
                  <c:v>11</c:v>
                </c:pt>
                <c:pt idx="1">
                  <c:v>17</c:v>
                </c:pt>
                <c:pt idx="2">
                  <c:v>18</c:v>
                </c:pt>
                <c:pt idx="3">
                  <c:v>11</c:v>
                </c:pt>
                <c:pt idx="4">
                  <c:v>25</c:v>
                </c:pt>
              </c:numCache>
            </c:numRef>
          </c:val>
        </c:ser>
        <c:ser>
          <c:idx val="1"/>
          <c:order val="1"/>
          <c:tx>
            <c:strRef>
              <c:f>'Gender Distribution'!$C$4:$C$5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Distribution'!$A$6:$A$11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'Gender Distribution'!$C$6:$C$11</c:f>
              <c:numCache>
                <c:formatCode>General</c:formatCode>
                <c:ptCount val="5"/>
                <c:pt idx="0">
                  <c:v>16</c:v>
                </c:pt>
                <c:pt idx="1">
                  <c:v>29</c:v>
                </c:pt>
                <c:pt idx="2">
                  <c:v>28</c:v>
                </c:pt>
                <c:pt idx="3">
                  <c:v>19</c:v>
                </c:pt>
                <c:pt idx="4">
                  <c:v>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747539980"/>
        <c:axId val="995400481"/>
      </c:barChart>
      <c:catAx>
        <c:axId val="74753998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5400481"/>
        <c:crosses val="autoZero"/>
        <c:auto val="1"/>
        <c:lblAlgn val="ctr"/>
        <c:lblOffset val="100"/>
        <c:noMultiLvlLbl val="0"/>
      </c:catAx>
      <c:valAx>
        <c:axId val="99540048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5399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5784f1-39cd-4786-a129-d64aaaaed8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 Records -  by Mohammad Nassar.xlsx]KPIs!Department Analysis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KPIs!$D$27</c:f>
              <c:strCache>
                <c:ptCount val="1"/>
                <c:pt idx="0">
                  <c:v>Count of StudentID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KPIs!$C$28:$C$33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KPIs!$D$28:$D$33</c:f>
              <c:numCache>
                <c:formatCode>General</c:formatCode>
                <c:ptCount val="5"/>
                <c:pt idx="0">
                  <c:v>27</c:v>
                </c:pt>
                <c:pt idx="1">
                  <c:v>46</c:v>
                </c:pt>
                <c:pt idx="2">
                  <c:v>46</c:v>
                </c:pt>
                <c:pt idx="3">
                  <c:v>30</c:v>
                </c:pt>
                <c:pt idx="4">
                  <c:v>51</c:v>
                </c:pt>
              </c:numCache>
            </c:numRef>
          </c:val>
        </c:ser>
        <c:ser>
          <c:idx val="1"/>
          <c:order val="1"/>
          <c:tx>
            <c:strRef>
              <c:f>KPIs!$E$27</c:f>
              <c:strCache>
                <c:ptCount val="1"/>
                <c:pt idx="0">
                  <c:v>Average of GPA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KPIs!$C$28:$C$33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KPIs!$E$28:$E$33</c:f>
              <c:numCache>
                <c:formatCode>0.00</c:formatCode>
                <c:ptCount val="5"/>
                <c:pt idx="0">
                  <c:v>2.91555555555556</c:v>
                </c:pt>
                <c:pt idx="1">
                  <c:v>2.93630434782609</c:v>
                </c:pt>
                <c:pt idx="2">
                  <c:v>3.04434782608696</c:v>
                </c:pt>
                <c:pt idx="3">
                  <c:v>3.08066666666667</c:v>
                </c:pt>
                <c:pt idx="4">
                  <c:v>3.12392156862745</c:v>
                </c:pt>
              </c:numCache>
            </c:numRef>
          </c:val>
        </c:ser>
        <c:ser>
          <c:idx val="2"/>
          <c:order val="2"/>
          <c:tx>
            <c:strRef>
              <c:f>KPIs!$F$27</c:f>
              <c:strCache>
                <c:ptCount val="1"/>
                <c:pt idx="0">
                  <c:v>Average of Attendance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KPIs!$C$28:$C$33</c:f>
              <c:strCache>
                <c:ptCount val="5"/>
                <c:pt idx="0">
                  <c:v>Biology</c:v>
                </c:pt>
                <c:pt idx="1">
                  <c:v>Chemistry</c:v>
                </c:pt>
                <c:pt idx="2">
                  <c:v>Computer Science</c:v>
                </c:pt>
                <c:pt idx="3">
                  <c:v>Mathematics</c:v>
                </c:pt>
                <c:pt idx="4">
                  <c:v>Physics</c:v>
                </c:pt>
              </c:strCache>
            </c:strRef>
          </c:cat>
          <c:val>
            <c:numRef>
              <c:f>KPIs!$F$28:$F$33</c:f>
              <c:numCache>
                <c:formatCode>0.00</c:formatCode>
                <c:ptCount val="5"/>
                <c:pt idx="0">
                  <c:v>79.0814814814815</c:v>
                </c:pt>
                <c:pt idx="1">
                  <c:v>82.8780434782609</c:v>
                </c:pt>
                <c:pt idx="2">
                  <c:v>79.7406521739131</c:v>
                </c:pt>
                <c:pt idx="3">
                  <c:v>79.452</c:v>
                </c:pt>
                <c:pt idx="4">
                  <c:v>78.3658823529411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318876531"/>
        <c:axId val="436752137"/>
      </c:barChart>
      <c:catAx>
        <c:axId val="3188765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6752137"/>
        <c:crosses val="autoZero"/>
        <c:auto val="1"/>
        <c:lblAlgn val="ctr"/>
        <c:lblOffset val="100"/>
        <c:noMultiLvlLbl val="0"/>
      </c:catAx>
      <c:valAx>
        <c:axId val="4367521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88765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978ef7-4f68-4383-a6b6-121807d8f79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22860</xdr:colOff>
      <xdr:row>6</xdr:row>
      <xdr:rowOff>102235</xdr:rowOff>
    </xdr:from>
    <xdr:to>
      <xdr:col>4</xdr:col>
      <xdr:colOff>913765</xdr:colOff>
      <xdr:row>7</xdr:row>
      <xdr:rowOff>210820</xdr:rowOff>
    </xdr:to>
    <xdr:sp>
      <xdr:nvSpPr>
        <xdr:cNvPr id="2" name="Rectangles 1"/>
        <xdr:cNvSpPr/>
      </xdr:nvSpPr>
      <xdr:spPr>
        <a:xfrm>
          <a:off x="1242060" y="1473835"/>
          <a:ext cx="3644265" cy="32194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400"/>
            <a:t>Number of graduation students for each year</a:t>
          </a:r>
          <a:endParaRPr lang="en-US" sz="1400"/>
        </a:p>
      </xdr:txBody>
    </xdr:sp>
    <xdr:clientData/>
  </xdr:twoCellAnchor>
  <xdr:twoCellAnchor>
    <xdr:from>
      <xdr:col>4</xdr:col>
      <xdr:colOff>932815</xdr:colOff>
      <xdr:row>6</xdr:row>
      <xdr:rowOff>13335</xdr:rowOff>
    </xdr:from>
    <xdr:to>
      <xdr:col>11</xdr:col>
      <xdr:colOff>452755</xdr:colOff>
      <xdr:row>19</xdr:row>
      <xdr:rowOff>169545</xdr:rowOff>
    </xdr:to>
    <xdr:graphicFrame>
      <xdr:nvGraphicFramePr>
        <xdr:cNvPr id="4" name="Chart 3"/>
        <xdr:cNvGraphicFramePr/>
      </xdr:nvGraphicFramePr>
      <xdr:xfrm>
        <a:off x="4905375" y="1384935"/>
        <a:ext cx="5636260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21590</xdr:colOff>
      <xdr:row>1</xdr:row>
      <xdr:rowOff>205105</xdr:rowOff>
    </xdr:from>
    <xdr:to>
      <xdr:col>1</xdr:col>
      <xdr:colOff>6350</xdr:colOff>
      <xdr:row>2</xdr:row>
      <xdr:rowOff>209550</xdr:rowOff>
    </xdr:to>
    <xdr:sp>
      <xdr:nvSpPr>
        <xdr:cNvPr id="5" name="Pentagon 4"/>
        <xdr:cNvSpPr/>
      </xdr:nvSpPr>
      <xdr:spPr>
        <a:xfrm>
          <a:off x="21590" y="418465"/>
          <a:ext cx="594360" cy="217805"/>
        </a:xfrm>
        <a:prstGeom prst="homePlate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594360</xdr:colOff>
      <xdr:row>8</xdr:row>
      <xdr:rowOff>4445</xdr:rowOff>
    </xdr:to>
    <xdr:sp>
      <xdr:nvSpPr>
        <xdr:cNvPr id="6" name="Pentagon 5"/>
        <xdr:cNvSpPr/>
      </xdr:nvSpPr>
      <xdr:spPr>
        <a:xfrm>
          <a:off x="0" y="1584960"/>
          <a:ext cx="594360" cy="217805"/>
        </a:xfrm>
        <a:prstGeom prst="homePlate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22225</xdr:colOff>
      <xdr:row>24</xdr:row>
      <xdr:rowOff>191770</xdr:rowOff>
    </xdr:from>
    <xdr:to>
      <xdr:col>1</xdr:col>
      <xdr:colOff>6985</xdr:colOff>
      <xdr:row>25</xdr:row>
      <xdr:rowOff>196215</xdr:rowOff>
    </xdr:to>
    <xdr:sp>
      <xdr:nvSpPr>
        <xdr:cNvPr id="3" name="Pentagon 2"/>
        <xdr:cNvSpPr/>
      </xdr:nvSpPr>
      <xdr:spPr>
        <a:xfrm>
          <a:off x="22225" y="5403850"/>
          <a:ext cx="594360" cy="217805"/>
        </a:xfrm>
        <a:prstGeom prst="homePlate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6</xdr:col>
      <xdr:colOff>181610</xdr:colOff>
      <xdr:row>23</xdr:row>
      <xdr:rowOff>198120</xdr:rowOff>
    </xdr:from>
    <xdr:to>
      <xdr:col>14</xdr:col>
      <xdr:colOff>123190</xdr:colOff>
      <xdr:row>37</xdr:row>
      <xdr:rowOff>96520</xdr:rowOff>
    </xdr:to>
    <xdr:graphicFrame>
      <xdr:nvGraphicFramePr>
        <xdr:cNvPr id="7" name="Chart 6"/>
        <xdr:cNvGraphicFramePr/>
      </xdr:nvGraphicFramePr>
      <xdr:xfrm>
        <a:off x="7222490" y="5196840"/>
        <a:ext cx="481838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24</xdr:row>
      <xdr:rowOff>33655</xdr:rowOff>
    </xdr:from>
    <xdr:to>
      <xdr:col>5</xdr:col>
      <xdr:colOff>1513205</xdr:colOff>
      <xdr:row>25</xdr:row>
      <xdr:rowOff>140335</xdr:rowOff>
    </xdr:to>
    <xdr:sp>
      <xdr:nvSpPr>
        <xdr:cNvPr id="8" name="Rectangles 7"/>
        <xdr:cNvSpPr/>
      </xdr:nvSpPr>
      <xdr:spPr>
        <a:xfrm>
          <a:off x="1219200" y="5245735"/>
          <a:ext cx="5800725" cy="32004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/>
            <a:t>Department Analysis </a:t>
          </a:r>
          <a:r>
            <a:rPr lang="en-US" sz="1400" b="1">
              <a:solidFill>
                <a:schemeClr val="tx1">
                  <a:lumMod val="75000"/>
                  <a:lumOff val="25000"/>
                </a:schemeClr>
              </a:solidFill>
            </a:rPr>
            <a:t>(total , average , attendance )</a:t>
          </a:r>
          <a:r>
            <a:rPr lang="en-US" sz="1400">
              <a:solidFill>
                <a:schemeClr val="tx1">
                  <a:lumMod val="75000"/>
                  <a:lumOff val="25000"/>
                </a:schemeClr>
              </a:solidFill>
            </a:rPr>
            <a:t> </a:t>
          </a:r>
          <a:r>
            <a:rPr lang="en-US" sz="1400"/>
            <a:t>for each department</a:t>
          </a:r>
          <a:endParaRPr 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471805</xdr:colOff>
      <xdr:row>2</xdr:row>
      <xdr:rowOff>212725</xdr:rowOff>
    </xdr:from>
    <xdr:to>
      <xdr:col>15</xdr:col>
      <xdr:colOff>321945</xdr:colOff>
      <xdr:row>16</xdr:row>
      <xdr:rowOff>111125</xdr:rowOff>
    </xdr:to>
    <xdr:graphicFrame>
      <xdr:nvGraphicFramePr>
        <xdr:cNvPr id="7" name="Chart 6"/>
        <xdr:cNvGraphicFramePr/>
      </xdr:nvGraphicFramePr>
      <xdr:xfrm>
        <a:off x="6095365" y="639445"/>
        <a:ext cx="4843780" cy="2931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8890</xdr:colOff>
      <xdr:row>1</xdr:row>
      <xdr:rowOff>201930</xdr:rowOff>
    </xdr:from>
    <xdr:to>
      <xdr:col>3</xdr:col>
      <xdr:colOff>1139190</xdr:colOff>
      <xdr:row>3</xdr:row>
      <xdr:rowOff>185420</xdr:rowOff>
    </xdr:to>
    <xdr:sp>
      <xdr:nvSpPr>
        <xdr:cNvPr id="2" name="Rectangles 1"/>
        <xdr:cNvSpPr/>
      </xdr:nvSpPr>
      <xdr:spPr>
        <a:xfrm>
          <a:off x="2884170" y="415290"/>
          <a:ext cx="2349500" cy="41021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ar-EG" sz="1400"/>
            <a:t>Department Vise attendance</a:t>
          </a:r>
          <a:endParaRPr lang="en-US" altLang="ar-EG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241935</xdr:colOff>
      <xdr:row>0</xdr:row>
      <xdr:rowOff>12700</xdr:rowOff>
    </xdr:from>
    <xdr:to>
      <xdr:col>18</xdr:col>
      <xdr:colOff>581025</xdr:colOff>
      <xdr:row>15</xdr:row>
      <xdr:rowOff>49530</xdr:rowOff>
    </xdr:to>
    <xdr:graphicFrame>
      <xdr:nvGraphicFramePr>
        <xdr:cNvPr id="2" name="Chart 1"/>
        <xdr:cNvGraphicFramePr/>
      </xdr:nvGraphicFramePr>
      <xdr:xfrm>
        <a:off x="6190615" y="12700"/>
        <a:ext cx="5215890" cy="3237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54610</xdr:colOff>
      <xdr:row>10</xdr:row>
      <xdr:rowOff>190500</xdr:rowOff>
    </xdr:from>
    <xdr:to>
      <xdr:col>8</xdr:col>
      <xdr:colOff>250190</xdr:colOff>
      <xdr:row>24</xdr:row>
      <xdr:rowOff>88900</xdr:rowOff>
    </xdr:to>
    <xdr:graphicFrame>
      <xdr:nvGraphicFramePr>
        <xdr:cNvPr id="3" name="Chart 2"/>
        <xdr:cNvGraphicFramePr/>
      </xdr:nvGraphicFramePr>
      <xdr:xfrm>
        <a:off x="54610" y="2324100"/>
        <a:ext cx="48133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348615</xdr:colOff>
      <xdr:row>15</xdr:row>
      <xdr:rowOff>111125</xdr:rowOff>
    </xdr:from>
    <xdr:to>
      <xdr:col>16</xdr:col>
      <xdr:colOff>348615</xdr:colOff>
      <xdr:row>26</xdr:row>
      <xdr:rowOff>139065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Ag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26095" y="331152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287655</xdr:colOff>
      <xdr:row>15</xdr:row>
      <xdr:rowOff>111760</xdr:rowOff>
    </xdr:from>
    <xdr:to>
      <xdr:col>13</xdr:col>
      <xdr:colOff>287655</xdr:colOff>
      <xdr:row>26</xdr:row>
      <xdr:rowOff>139700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GraduationYear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aduationYear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6335" y="33121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10160</xdr:colOff>
      <xdr:row>3</xdr:row>
      <xdr:rowOff>19050</xdr:rowOff>
    </xdr:from>
    <xdr:to>
      <xdr:col>12</xdr:col>
      <xdr:colOff>568960</xdr:colOff>
      <xdr:row>16</xdr:row>
      <xdr:rowOff>183515</xdr:rowOff>
    </xdr:to>
    <xdr:graphicFrame>
      <xdr:nvGraphicFramePr>
        <xdr:cNvPr id="2" name="Chart 1"/>
        <xdr:cNvGraphicFramePr/>
      </xdr:nvGraphicFramePr>
      <xdr:xfrm>
        <a:off x="4180840" y="659130"/>
        <a:ext cx="4826000" cy="2938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116840</xdr:colOff>
      <xdr:row>0</xdr:row>
      <xdr:rowOff>106680</xdr:rowOff>
    </xdr:from>
    <xdr:to>
      <xdr:col>5</xdr:col>
      <xdr:colOff>66675</xdr:colOff>
      <xdr:row>2</xdr:row>
      <xdr:rowOff>116205</xdr:rowOff>
    </xdr:to>
    <xdr:sp>
      <xdr:nvSpPr>
        <xdr:cNvPr id="3" name="Rectangles 2"/>
        <xdr:cNvSpPr/>
      </xdr:nvSpPr>
      <xdr:spPr>
        <a:xfrm>
          <a:off x="116840" y="106680"/>
          <a:ext cx="4120515" cy="43624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800">
              <a:solidFill>
                <a:schemeClr val="bg1"/>
              </a:solidFill>
            </a:rPr>
            <a:t>Gender Distribution for each department</a:t>
          </a:r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156845</xdr:colOff>
      <xdr:row>11</xdr:row>
      <xdr:rowOff>193675</xdr:rowOff>
    </xdr:from>
    <xdr:to>
      <xdr:col>1</xdr:col>
      <xdr:colOff>639445</xdr:colOff>
      <xdr:row>23</xdr:row>
      <xdr:rowOff>8255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Departmen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45" y="254063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49530</xdr:colOff>
      <xdr:row>12</xdr:row>
      <xdr:rowOff>26035</xdr:rowOff>
    </xdr:from>
    <xdr:to>
      <xdr:col>4</xdr:col>
      <xdr:colOff>339090</xdr:colOff>
      <xdr:row>23</xdr:row>
      <xdr:rowOff>53975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Gender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1370" y="258635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1870075</xdr:colOff>
      <xdr:row>5</xdr:row>
      <xdr:rowOff>24130</xdr:rowOff>
    </xdr:from>
    <xdr:to>
      <xdr:col>8</xdr:col>
      <xdr:colOff>715010</xdr:colOff>
      <xdr:row>7</xdr:row>
      <xdr:rowOff>34925</xdr:rowOff>
    </xdr:to>
    <xdr:sp>
      <xdr:nvSpPr>
        <xdr:cNvPr id="2" name="Rectangles 1"/>
        <xdr:cNvSpPr/>
      </xdr:nvSpPr>
      <xdr:spPr>
        <a:xfrm>
          <a:off x="5349875" y="1253490"/>
          <a:ext cx="2787015" cy="43751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800">
              <a:solidFill>
                <a:schemeClr val="bg1"/>
              </a:solidFill>
            </a:rPr>
            <a:t>Data for student ID = 5001</a:t>
          </a:r>
          <a:endParaRPr lang="en-US" sz="1800">
            <a:solidFill>
              <a:schemeClr val="bg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262890</xdr:colOff>
      <xdr:row>10</xdr:row>
      <xdr:rowOff>37465</xdr:rowOff>
    </xdr:from>
    <xdr:to>
      <xdr:col>17</xdr:col>
      <xdr:colOff>337185</xdr:colOff>
      <xdr:row>34</xdr:row>
      <xdr:rowOff>105410</xdr:rowOff>
    </xdr:to>
    <xdr:graphicFrame>
      <xdr:nvGraphicFramePr>
        <xdr:cNvPr id="5" name="Chart 4"/>
        <xdr:cNvGraphicFramePr/>
      </xdr:nvGraphicFramePr>
      <xdr:xfrm>
        <a:off x="8187690" y="1546225"/>
        <a:ext cx="2512695" cy="2978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255905</xdr:colOff>
      <xdr:row>41</xdr:row>
      <xdr:rowOff>97790</xdr:rowOff>
    </xdr:from>
    <xdr:to>
      <xdr:col>18</xdr:col>
      <xdr:colOff>271145</xdr:colOff>
      <xdr:row>76</xdr:row>
      <xdr:rowOff>103505</xdr:rowOff>
    </xdr:to>
    <xdr:graphicFrame>
      <xdr:nvGraphicFramePr>
        <xdr:cNvPr id="6" name="Chart 5"/>
        <xdr:cNvGraphicFramePr/>
      </xdr:nvGraphicFramePr>
      <xdr:xfrm>
        <a:off x="8180705" y="5335270"/>
        <a:ext cx="3063240" cy="4095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262255</xdr:colOff>
      <xdr:row>29</xdr:row>
      <xdr:rowOff>57785</xdr:rowOff>
    </xdr:from>
    <xdr:to>
      <xdr:col>13</xdr:col>
      <xdr:colOff>8890</xdr:colOff>
      <xdr:row>62</xdr:row>
      <xdr:rowOff>100330</xdr:rowOff>
    </xdr:to>
    <xdr:graphicFrame>
      <xdr:nvGraphicFramePr>
        <xdr:cNvPr id="7" name="Chart 6"/>
        <xdr:cNvGraphicFramePr/>
      </xdr:nvGraphicFramePr>
      <xdr:xfrm>
        <a:off x="5139055" y="3786505"/>
        <a:ext cx="2794635" cy="4004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90170</xdr:colOff>
      <xdr:row>58</xdr:row>
      <xdr:rowOff>104140</xdr:rowOff>
    </xdr:from>
    <xdr:to>
      <xdr:col>4</xdr:col>
      <xdr:colOff>483870</xdr:colOff>
      <xdr:row>94</xdr:row>
      <xdr:rowOff>56515</xdr:rowOff>
    </xdr:to>
    <xdr:graphicFrame>
      <xdr:nvGraphicFramePr>
        <xdr:cNvPr id="8" name="Chart 7"/>
        <xdr:cNvGraphicFramePr/>
      </xdr:nvGraphicFramePr>
      <xdr:xfrm>
        <a:off x="90170" y="7327900"/>
        <a:ext cx="2832100" cy="4158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588645</xdr:colOff>
      <xdr:row>10</xdr:row>
      <xdr:rowOff>29210</xdr:rowOff>
    </xdr:from>
    <xdr:to>
      <xdr:col>13</xdr:col>
      <xdr:colOff>2540</xdr:colOff>
      <xdr:row>29</xdr:row>
      <xdr:rowOff>56515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75045" y="1537970"/>
              <a:ext cx="1852295" cy="22472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264160</xdr:colOff>
      <xdr:row>10</xdr:row>
      <xdr:rowOff>17780</xdr:rowOff>
    </xdr:from>
    <xdr:to>
      <xdr:col>9</xdr:col>
      <xdr:colOff>586740</xdr:colOff>
      <xdr:row>29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GraduationYea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raduation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0960" y="1526540"/>
              <a:ext cx="932180" cy="2270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368935</xdr:colOff>
      <xdr:row>3</xdr:row>
      <xdr:rowOff>4445</xdr:rowOff>
    </xdr:from>
    <xdr:to>
      <xdr:col>7</xdr:col>
      <xdr:colOff>496570</xdr:colOff>
      <xdr:row>7</xdr:row>
      <xdr:rowOff>9525</xdr:rowOff>
    </xdr:to>
    <xdr:sp>
      <xdr:nvSpPr>
        <xdr:cNvPr id="11" name="Rounded Rectangle 10"/>
        <xdr:cNvSpPr/>
      </xdr:nvSpPr>
      <xdr:spPr>
        <a:xfrm>
          <a:off x="2807335" y="354965"/>
          <a:ext cx="1956435" cy="472440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altLang="ar-EG" sz="2000" b="1">
              <a:latin typeface="Arial" panose="020B0604020202090204" pitchFamily="7" charset="0"/>
              <a:cs typeface="Arial" panose="020B0604020202090204" pitchFamily="7" charset="0"/>
            </a:rPr>
            <a:t>Students Records Dashboard</a:t>
          </a:r>
          <a:endParaRPr lang="en-US" altLang="ar-EG" sz="2000" b="1"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twoCellAnchor>
  <xdr:twoCellAnchor>
    <xdr:from>
      <xdr:col>0</xdr:col>
      <xdr:colOff>227965</xdr:colOff>
      <xdr:row>13</xdr:row>
      <xdr:rowOff>50800</xdr:rowOff>
    </xdr:from>
    <xdr:to>
      <xdr:col>4</xdr:col>
      <xdr:colOff>225425</xdr:colOff>
      <xdr:row>30</xdr:row>
      <xdr:rowOff>109220</xdr:rowOff>
    </xdr:to>
    <xdr:sp>
      <xdr:nvSpPr>
        <xdr:cNvPr id="12" name="Rounded Rectangle 11"/>
        <xdr:cNvSpPr/>
      </xdr:nvSpPr>
      <xdr:spPr>
        <a:xfrm>
          <a:off x="227965" y="1910080"/>
          <a:ext cx="2435860" cy="21513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altLang="ar-EG" sz="3200"/>
        </a:p>
      </xdr:txBody>
    </xdr:sp>
    <xdr:clientData/>
  </xdr:twoCellAnchor>
  <xdr:oneCellAnchor>
    <xdr:from>
      <xdr:col>0</xdr:col>
      <xdr:colOff>443865</xdr:colOff>
      <xdr:row>15</xdr:row>
      <xdr:rowOff>45720</xdr:rowOff>
    </xdr:from>
    <xdr:ext cx="1605280" cy="408305"/>
    <xdr:sp>
      <xdr:nvSpPr>
        <xdr:cNvPr id="13" name="Text Box 12"/>
        <xdr:cNvSpPr txBox="1"/>
      </xdr:nvSpPr>
      <xdr:spPr>
        <a:xfrm>
          <a:off x="443865" y="2138680"/>
          <a:ext cx="1605280" cy="4083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altLang="ar-EG" sz="1600" b="1">
              <a:solidFill>
                <a:schemeClr val="bg1"/>
              </a:solidFill>
              <a:latin typeface="Arial" panose="020B0604020202090204" pitchFamily="7" charset="0"/>
              <a:cs typeface="Arial" panose="020B0604020202090204" pitchFamily="7" charset="0"/>
            </a:rPr>
            <a:t>Total Students</a:t>
          </a:r>
          <a:endParaRPr lang="en-US" altLang="ar-EG" sz="1600" b="1">
            <a:solidFill>
              <a:schemeClr val="bg1"/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oneCellAnchor>
  <xdr:oneCellAnchor>
    <xdr:from>
      <xdr:col>0</xdr:col>
      <xdr:colOff>469265</xdr:colOff>
      <xdr:row>21</xdr:row>
      <xdr:rowOff>30480</xdr:rowOff>
    </xdr:from>
    <xdr:ext cx="1588770" cy="386080"/>
    <xdr:sp>
      <xdr:nvSpPr>
        <xdr:cNvPr id="14" name="Text Box 13"/>
        <xdr:cNvSpPr txBox="1"/>
      </xdr:nvSpPr>
      <xdr:spPr>
        <a:xfrm>
          <a:off x="469265" y="2824480"/>
          <a:ext cx="1588770" cy="3860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ar-EG" sz="1600" b="1">
              <a:solidFill>
                <a:schemeClr val="bg1"/>
              </a:solidFill>
              <a:latin typeface="Arial" panose="020B0604020202090204" pitchFamily="7" charset="0"/>
              <a:cs typeface="Arial" panose="020B0604020202090204" pitchFamily="7" charset="0"/>
            </a:rPr>
            <a:t>Average GPA</a:t>
          </a:r>
          <a:endParaRPr lang="en-US" altLang="ar-EG" sz="1600" b="1">
            <a:solidFill>
              <a:schemeClr val="bg1"/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oneCellAnchor>
  <xdr:oneCellAnchor>
    <xdr:from>
      <xdr:col>0</xdr:col>
      <xdr:colOff>404495</xdr:colOff>
      <xdr:row>27</xdr:row>
      <xdr:rowOff>29210</xdr:rowOff>
    </xdr:from>
    <xdr:ext cx="2903220" cy="550545"/>
    <xdr:sp>
      <xdr:nvSpPr>
        <xdr:cNvPr id="15" name="Text Box 14"/>
        <xdr:cNvSpPr txBox="1"/>
      </xdr:nvSpPr>
      <xdr:spPr>
        <a:xfrm>
          <a:off x="404495" y="3524250"/>
          <a:ext cx="2903220" cy="5505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ar-EG" sz="1800" b="1">
              <a:solidFill>
                <a:schemeClr val="bg1"/>
              </a:solidFill>
              <a:latin typeface="Arial" panose="020B0604020202090204" pitchFamily="7" charset="0"/>
              <a:cs typeface="Arial" panose="020B0604020202090204" pitchFamily="7" charset="0"/>
            </a:rPr>
            <a:t>Average Attendance</a:t>
          </a:r>
          <a:endParaRPr lang="en-US" altLang="ar-EG" sz="1800" b="1">
            <a:solidFill>
              <a:schemeClr val="bg1"/>
            </a:solidFill>
            <a:latin typeface="Arial" panose="020B0604020202090204" pitchFamily="7" charset="0"/>
            <a:cs typeface="Arial" panose="020B0604020202090204" pitchFamily="7" charset="0"/>
          </a:endParaRPr>
        </a:p>
      </xdr:txBody>
    </xdr:sp>
    <xdr:clientData/>
  </xdr:oneCellAnchor>
  <xdr:twoCellAnchor>
    <xdr:from>
      <xdr:col>0</xdr:col>
      <xdr:colOff>231140</xdr:colOff>
      <xdr:row>26</xdr:row>
      <xdr:rowOff>29210</xdr:rowOff>
    </xdr:from>
    <xdr:to>
      <xdr:col>4</xdr:col>
      <xdr:colOff>219075</xdr:colOff>
      <xdr:row>26</xdr:row>
      <xdr:rowOff>29210</xdr:rowOff>
    </xdr:to>
    <xdr:cxnSp>
      <xdr:nvCxnSpPr>
        <xdr:cNvPr id="16" name="Straight Connector 15"/>
        <xdr:cNvCxnSpPr/>
      </xdr:nvCxnSpPr>
      <xdr:spPr>
        <a:xfrm>
          <a:off x="231140" y="3407410"/>
          <a:ext cx="2426335" cy="0"/>
        </a:xfrm>
        <a:prstGeom prst="line">
          <a:avLst/>
        </a:prstGeom>
        <a:ln w="31750">
          <a:gradFill>
            <a:gsLst>
              <a:gs pos="0">
                <a:schemeClr val="accent1">
                  <a:hueOff val="-4200000"/>
                </a:schemeClr>
              </a:gs>
              <a:gs pos="100000">
                <a:schemeClr val="accent1"/>
              </a:gs>
            </a:gsLst>
          </a:gradFill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230505</xdr:colOff>
      <xdr:row>19</xdr:row>
      <xdr:rowOff>53975</xdr:rowOff>
    </xdr:from>
    <xdr:to>
      <xdr:col>4</xdr:col>
      <xdr:colOff>219075</xdr:colOff>
      <xdr:row>19</xdr:row>
      <xdr:rowOff>53975</xdr:rowOff>
    </xdr:to>
    <xdr:cxnSp>
      <xdr:nvCxnSpPr>
        <xdr:cNvPr id="18" name="Straight Connector 17"/>
        <xdr:cNvCxnSpPr/>
      </xdr:nvCxnSpPr>
      <xdr:spPr>
        <a:xfrm>
          <a:off x="230505" y="2614295"/>
          <a:ext cx="2426970" cy="0"/>
        </a:xfrm>
        <a:prstGeom prst="line">
          <a:avLst/>
        </a:prstGeom>
        <a:ln w="31750">
          <a:gradFill>
            <a:gsLst>
              <a:gs pos="0">
                <a:schemeClr val="accent1">
                  <a:hueOff val="-4200000"/>
                </a:schemeClr>
              </a:gs>
              <a:gs pos="100000">
                <a:schemeClr val="accent1"/>
              </a:gs>
            </a:gsLst>
          </a:gradFill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284480</xdr:colOff>
      <xdr:row>14</xdr:row>
      <xdr:rowOff>109855</xdr:rowOff>
    </xdr:from>
    <xdr:to>
      <xdr:col>3</xdr:col>
      <xdr:colOff>51435</xdr:colOff>
      <xdr:row>18</xdr:row>
      <xdr:rowOff>67310</xdr:rowOff>
    </xdr:to>
    <xdr:sp textlink="KPIs!C4">
      <xdr:nvSpPr>
        <xdr:cNvPr id="20" name="Rounded Rectangle 19"/>
        <xdr:cNvSpPr/>
      </xdr:nvSpPr>
      <xdr:spPr>
        <a:xfrm>
          <a:off x="1503680" y="2085975"/>
          <a:ext cx="376555" cy="424815"/>
        </a:xfrm>
        <a:prstGeom prst="roundRect">
          <a:avLst>
            <a:gd name="adj" fmla="val 16666"/>
          </a:avLst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fld id="{BB962C8B-B14F-4D97-AF65-F5344CB8AC3E}" type="TxLink">
            <a:rPr lang="en-US" altLang="ar-EG" sz="1800"/>
            <a:t>200</a:t>
          </a:fld>
          <a:endParaRPr lang="en-US" altLang="ar-EG" sz="1800"/>
        </a:p>
      </xdr:txBody>
    </xdr:sp>
    <xdr:clientData/>
  </xdr:twoCellAnchor>
  <xdr:twoCellAnchor>
    <xdr:from>
      <xdr:col>2</xdr:col>
      <xdr:colOff>284480</xdr:colOff>
      <xdr:row>21</xdr:row>
      <xdr:rowOff>2540</xdr:rowOff>
    </xdr:from>
    <xdr:to>
      <xdr:col>3</xdr:col>
      <xdr:colOff>48260</xdr:colOff>
      <xdr:row>24</xdr:row>
      <xdr:rowOff>83185</xdr:rowOff>
    </xdr:to>
    <xdr:sp textlink="KPIs!D4">
      <xdr:nvSpPr>
        <xdr:cNvPr id="21" name="Rounded Rectangle 20"/>
        <xdr:cNvSpPr/>
      </xdr:nvSpPr>
      <xdr:spPr>
        <a:xfrm>
          <a:off x="1503680" y="2796540"/>
          <a:ext cx="373380" cy="431165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800"/>
            <a:t>3.03</a:t>
          </a:fld>
          <a:endParaRPr lang="en-US" sz="1800"/>
        </a:p>
      </xdr:txBody>
    </xdr:sp>
    <xdr:clientData/>
  </xdr:twoCellAnchor>
  <xdr:twoCellAnchor>
    <xdr:from>
      <xdr:col>2</xdr:col>
      <xdr:colOff>433070</xdr:colOff>
      <xdr:row>27</xdr:row>
      <xdr:rowOff>10160</xdr:rowOff>
    </xdr:from>
    <xdr:to>
      <xdr:col>3</xdr:col>
      <xdr:colOff>257810</xdr:colOff>
      <xdr:row>29</xdr:row>
      <xdr:rowOff>219710</xdr:rowOff>
    </xdr:to>
    <xdr:sp textlink="KPIs!E4">
      <xdr:nvSpPr>
        <xdr:cNvPr id="22" name="Rounded Rectangle 21"/>
        <xdr:cNvSpPr/>
      </xdr:nvSpPr>
      <xdr:spPr>
        <a:xfrm>
          <a:off x="1652270" y="3505200"/>
          <a:ext cx="434340" cy="443230"/>
        </a:xfrm>
        <a:prstGeom prst="roundRect">
          <a:avLst/>
        </a:prstGeom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fld id="{BB962C8B-B14F-4D97-AF65-F5344CB8AC3E}" type="TxLink">
            <a:rPr lang="en-US" sz="1800"/>
            <a:t>79.98</a:t>
          </a:fld>
          <a:endParaRPr lang="en-US" sz="1800"/>
        </a:p>
      </xdr:txBody>
    </xdr:sp>
    <xdr:clientData/>
  </xdr:twoCellAnchor>
  <xdr:oneCellAnchor>
    <xdr:from>
      <xdr:col>4</xdr:col>
      <xdr:colOff>469265</xdr:colOff>
      <xdr:row>32</xdr:row>
      <xdr:rowOff>6985</xdr:rowOff>
    </xdr:from>
    <xdr:ext cx="309880" cy="274320"/>
    <xdr:sp>
      <xdr:nvSpPr>
        <xdr:cNvPr id="2" name="Text Box 1"/>
        <xdr:cNvSpPr txBox="1"/>
      </xdr:nvSpPr>
      <xdr:spPr>
        <a:xfrm>
          <a:off x="2907665" y="4192905"/>
          <a:ext cx="309880" cy="2743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0</xdr:col>
      <xdr:colOff>589280</xdr:colOff>
      <xdr:row>8</xdr:row>
      <xdr:rowOff>297180</xdr:rowOff>
    </xdr:from>
    <xdr:to>
      <xdr:col>3</xdr:col>
      <xdr:colOff>487045</xdr:colOff>
      <xdr:row>12</xdr:row>
      <xdr:rowOff>34290</xdr:rowOff>
    </xdr:to>
    <xdr:sp>
      <xdr:nvSpPr>
        <xdr:cNvPr id="23" name="Round Diagonal Corner Rectangle 22"/>
        <xdr:cNvSpPr/>
      </xdr:nvSpPr>
      <xdr:spPr>
        <a:xfrm>
          <a:off x="589280" y="1231900"/>
          <a:ext cx="1726565" cy="544830"/>
        </a:xfrm>
        <a:prstGeom prst="round2Diag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3200" b="1"/>
            <a:t>KPIs</a:t>
          </a:r>
          <a:endParaRPr lang="en-US" sz="3200" b="1"/>
        </a:p>
      </xdr:txBody>
    </xdr:sp>
    <xdr:clientData/>
  </xdr:twoCellAnchor>
  <xdr:twoCellAnchor editAs="oneCell">
    <xdr:from>
      <xdr:col>0</xdr:col>
      <xdr:colOff>210820</xdr:colOff>
      <xdr:row>42</xdr:row>
      <xdr:rowOff>59055</xdr:rowOff>
    </xdr:from>
    <xdr:to>
      <xdr:col>1</xdr:col>
      <xdr:colOff>553085</xdr:colOff>
      <xdr:row>57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Departmen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0820" y="5413375"/>
              <a:ext cx="951865" cy="179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553085</xdr:colOff>
      <xdr:row>42</xdr:row>
      <xdr:rowOff>50800</xdr:rowOff>
    </xdr:from>
    <xdr:to>
      <xdr:col>3</xdr:col>
      <xdr:colOff>248285</xdr:colOff>
      <xdr:row>57</xdr:row>
      <xdr:rowOff>100330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685" y="5405120"/>
              <a:ext cx="914400" cy="1802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273050</xdr:colOff>
      <xdr:row>75</xdr:row>
      <xdr:rowOff>54610</xdr:rowOff>
    </xdr:from>
    <xdr:to>
      <xdr:col>13</xdr:col>
      <xdr:colOff>21590</xdr:colOff>
      <xdr:row>110</xdr:row>
      <xdr:rowOff>110490</xdr:rowOff>
    </xdr:to>
    <xdr:graphicFrame>
      <xdr:nvGraphicFramePr>
        <xdr:cNvPr id="26" name="Chart 25"/>
        <xdr:cNvGraphicFramePr/>
      </xdr:nvGraphicFramePr>
      <xdr:xfrm>
        <a:off x="5149850" y="9264650"/>
        <a:ext cx="2796540" cy="4145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249555</xdr:colOff>
      <xdr:row>35</xdr:row>
      <xdr:rowOff>95885</xdr:rowOff>
    </xdr:from>
    <xdr:to>
      <xdr:col>3</xdr:col>
      <xdr:colOff>149225</xdr:colOff>
      <xdr:row>40</xdr:row>
      <xdr:rowOff>41910</xdr:rowOff>
    </xdr:to>
    <xdr:sp>
      <xdr:nvSpPr>
        <xdr:cNvPr id="27" name="Round Diagonal Corner Rectangle 26"/>
        <xdr:cNvSpPr/>
      </xdr:nvSpPr>
      <xdr:spPr>
        <a:xfrm>
          <a:off x="249555" y="4632325"/>
          <a:ext cx="1728470" cy="530225"/>
        </a:xfrm>
        <a:prstGeom prst="round2Diag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/>
            <a:t>Gender Distribution</a:t>
          </a:r>
          <a:endParaRPr lang="en-US" sz="2400" b="1"/>
        </a:p>
      </xdr:txBody>
    </xdr:sp>
    <xdr:clientData/>
  </xdr:twoCellAnchor>
  <xdr:twoCellAnchor>
    <xdr:from>
      <xdr:col>9</xdr:col>
      <xdr:colOff>69215</xdr:colOff>
      <xdr:row>8</xdr:row>
      <xdr:rowOff>45085</xdr:rowOff>
    </xdr:from>
    <xdr:to>
      <xdr:col>11</xdr:col>
      <xdr:colOff>575945</xdr:colOff>
      <xdr:row>9</xdr:row>
      <xdr:rowOff>48895</xdr:rowOff>
    </xdr:to>
    <xdr:sp>
      <xdr:nvSpPr>
        <xdr:cNvPr id="28" name="Round Diagonal Corner Rectangle 27"/>
        <xdr:cNvSpPr/>
      </xdr:nvSpPr>
      <xdr:spPr>
        <a:xfrm>
          <a:off x="5555615" y="979805"/>
          <a:ext cx="1725930" cy="461010"/>
        </a:xfrm>
        <a:prstGeom prst="round2Diag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/>
            <a:t>Age Distribution</a:t>
          </a:r>
          <a:endParaRPr lang="en-US" sz="2400" b="1"/>
        </a:p>
      </xdr:txBody>
    </xdr:sp>
    <xdr:clientData/>
  </xdr:twoCellAnchor>
  <xdr:twoCellAnchor>
    <xdr:from>
      <xdr:col>14</xdr:col>
      <xdr:colOff>46990</xdr:colOff>
      <xdr:row>8</xdr:row>
      <xdr:rowOff>12700</xdr:rowOff>
    </xdr:from>
    <xdr:to>
      <xdr:col>16</xdr:col>
      <xdr:colOff>556895</xdr:colOff>
      <xdr:row>9</xdr:row>
      <xdr:rowOff>47625</xdr:rowOff>
    </xdr:to>
    <xdr:sp>
      <xdr:nvSpPr>
        <xdr:cNvPr id="29" name="Round Diagonal Corner Rectangle 28"/>
        <xdr:cNvSpPr/>
      </xdr:nvSpPr>
      <xdr:spPr>
        <a:xfrm>
          <a:off x="8581390" y="947420"/>
          <a:ext cx="1729105" cy="492125"/>
        </a:xfrm>
        <a:prstGeom prst="round2Diag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/>
            <a:t>Average Attendance</a:t>
          </a:r>
          <a:endParaRPr lang="en-US" sz="2400" b="1"/>
        </a:p>
      </xdr:txBody>
    </xdr:sp>
    <xdr:clientData/>
  </xdr:twoCellAnchor>
  <xdr:twoCellAnchor>
    <xdr:from>
      <xdr:col>14</xdr:col>
      <xdr:colOff>14605</xdr:colOff>
      <xdr:row>36</xdr:row>
      <xdr:rowOff>64135</xdr:rowOff>
    </xdr:from>
    <xdr:to>
      <xdr:col>17</xdr:col>
      <xdr:colOff>308610</xdr:colOff>
      <xdr:row>41</xdr:row>
      <xdr:rowOff>7620</xdr:rowOff>
    </xdr:to>
    <xdr:sp>
      <xdr:nvSpPr>
        <xdr:cNvPr id="30" name="Round Diagonal Corner Rectangle 29"/>
        <xdr:cNvSpPr/>
      </xdr:nvSpPr>
      <xdr:spPr>
        <a:xfrm>
          <a:off x="8549005" y="4717415"/>
          <a:ext cx="2122805" cy="527685"/>
        </a:xfrm>
        <a:prstGeom prst="round2Diag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/>
            <a:t>Total Students among years</a:t>
          </a:r>
          <a:endParaRPr lang="en-US" sz="2400" b="1"/>
        </a:p>
      </xdr:txBody>
    </xdr:sp>
    <xdr:clientData/>
  </xdr:twoCellAnchor>
  <xdr:twoCellAnchor>
    <xdr:from>
      <xdr:col>9</xdr:col>
      <xdr:colOff>66040</xdr:colOff>
      <xdr:row>69</xdr:row>
      <xdr:rowOff>100330</xdr:rowOff>
    </xdr:from>
    <xdr:to>
      <xdr:col>12</xdr:col>
      <xdr:colOff>98425</xdr:colOff>
      <xdr:row>74</xdr:row>
      <xdr:rowOff>46355</xdr:rowOff>
    </xdr:to>
    <xdr:sp>
      <xdr:nvSpPr>
        <xdr:cNvPr id="31" name="Round Diagonal Corner Rectangle 30"/>
        <xdr:cNvSpPr/>
      </xdr:nvSpPr>
      <xdr:spPr>
        <a:xfrm>
          <a:off x="5552440" y="8609330"/>
          <a:ext cx="1861185" cy="530225"/>
        </a:xfrm>
        <a:prstGeom prst="round2Diag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2400" b="1"/>
            <a:t>Department Distribution</a:t>
          </a:r>
          <a:endParaRPr lang="en-US" sz="2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6.8729513889" refreshedBy="mac" recordCount="200">
  <cacheSource type="worksheet">
    <worksheetSource name="Students_Records"/>
  </cacheSource>
  <cacheFields count="10">
    <cacheField name="StudentID" numFmtId="0">
      <sharedItems containsSemiMixedTypes="0" containsString="0" containsNumber="1" containsInteger="1" minValue="1066" maxValue="9985" count="200">
        <n v="3336"/>
        <n v="8774"/>
        <n v="1396"/>
        <n v="6716"/>
        <n v="8830"/>
        <n v="5305"/>
        <n v="5048"/>
        <n v="5986"/>
        <n v="8721"/>
        <n v="6622"/>
        <n v="3254"/>
        <n v="8021"/>
        <n v="9477"/>
        <n v="9144"/>
        <n v="4854"/>
        <n v="3690"/>
        <n v="4462"/>
        <n v="3255"/>
        <n v="5446"/>
        <n v="8125"/>
        <n v="3052"/>
        <n v="2602"/>
        <n v="1866"/>
        <n v="4908"/>
        <n v="6711"/>
        <n v="1165"/>
        <n v="7657"/>
        <n v="4776"/>
        <n v="5711"/>
        <n v="8511"/>
        <n v="4009"/>
        <n v="7998"/>
        <n v="5676"/>
        <n v="8134"/>
        <n v="5119"/>
        <n v="7304"/>
        <n v="3663"/>
        <n v="6423"/>
        <n v="5155"/>
        <n v="1066"/>
        <n v="5773"/>
        <n v="8417"/>
        <n v="4235"/>
        <n v="7002"/>
        <n v="5998"/>
        <n v="9661"/>
        <n v="5144"/>
        <n v="3719"/>
        <n v="9310"/>
        <n v="9271"/>
        <n v="4603"/>
        <n v="5001"/>
        <n v="5618"/>
        <n v="3205"/>
        <n v="8431"/>
        <n v="4604"/>
        <n v="7287"/>
        <n v="3481"/>
        <n v="3068"/>
        <n v="4514"/>
        <n v="2499"/>
        <n v="5212"/>
        <n v="5550"/>
        <n v="8265"/>
        <n v="6398"/>
        <n v="2706"/>
        <n v="9410"/>
        <n v="5851"/>
        <n v="9842"/>
        <n v="6069"/>
        <n v="7081"/>
        <n v="9812"/>
        <n v="1790"/>
        <n v="8268"/>
        <n v="1383"/>
        <n v="4197"/>
        <n v="4517"/>
        <n v="6733"/>
        <n v="5406"/>
        <n v="5652"/>
        <n v="4846"/>
        <n v="9806"/>
        <n v="8526"/>
        <n v="3257"/>
        <n v="1214"/>
        <n v="2921"/>
        <n v="1853"/>
        <n v="4418"/>
        <n v="6729"/>
        <n v="4509"/>
        <n v="8646"/>
        <n v="4675"/>
        <n v="9291"/>
        <n v="8808"/>
        <n v="5441"/>
        <n v="6001"/>
        <n v="5630"/>
        <n v="4311"/>
        <n v="6577"/>
        <n v="6809"/>
        <n v="2318"/>
        <n v="4948"/>
        <n v="7574"/>
        <n v="8155"/>
        <n v="5776"/>
        <n v="1857"/>
        <n v="1742"/>
        <n v="4406"/>
        <n v="2800"/>
        <n v="1666"/>
        <n v="1328"/>
        <n v="7728"/>
        <n v="6489"/>
        <n v="9047"/>
        <n v="5788"/>
        <n v="8426"/>
        <n v="8366"/>
        <n v="2963"/>
        <n v="3669"/>
        <n v="4925"/>
        <n v="6915"/>
        <n v="4538"/>
        <n v="1663"/>
        <n v="1708"/>
        <n v="9707"/>
        <n v="4188"/>
        <n v="5902"/>
        <n v="7107"/>
        <n v="8040"/>
        <n v="4140"/>
        <n v="3797"/>
        <n v="7752"/>
        <n v="8473"/>
        <n v="1613"/>
        <n v="8298"/>
        <n v="6502"/>
        <n v="7506"/>
        <n v="4633"/>
        <n v="9239"/>
        <n v="9872"/>
        <n v="6585"/>
        <n v="1594"/>
        <n v="7265"/>
        <n v="9985"/>
        <n v="9204"/>
        <n v="1959"/>
        <n v="4036"/>
        <n v="3694"/>
        <n v="7829"/>
        <n v="8694"/>
        <n v="9382"/>
        <n v="1113"/>
        <n v="7637"/>
        <n v="6344"/>
        <n v="5468"/>
        <n v="2698"/>
        <n v="7871"/>
        <n v="8556"/>
        <n v="5031"/>
        <n v="2575"/>
        <n v="2322"/>
        <n v="9056"/>
        <n v="6326"/>
        <n v="8790"/>
        <n v="3873"/>
        <n v="3176"/>
        <n v="9203"/>
        <n v="9676"/>
        <n v="2142"/>
        <n v="4138"/>
        <n v="8314"/>
        <n v="9826"/>
        <n v="5149"/>
        <n v="9098"/>
        <n v="2991"/>
        <n v="6780"/>
        <n v="1363"/>
        <n v="6589"/>
        <n v="9377"/>
        <n v="2982"/>
        <n v="7186"/>
        <n v="4265"/>
        <n v="9696"/>
        <n v="8291"/>
        <n v="5094"/>
        <n v="7933"/>
        <n v="2962"/>
        <n v="7780"/>
        <n v="8082"/>
        <n v="7240"/>
        <n v="3033"/>
        <n v="2538"/>
        <n v="3406"/>
        <n v="5615"/>
        <n v="3994"/>
        <n v="3274"/>
        <n v="3609"/>
        <n v="9179"/>
        <n v="4463"/>
        <n v="6178"/>
      </sharedItems>
    </cacheField>
    <cacheField name="Name" numFmtId="0">
      <sharedItems count="200">
        <s v="David Palmer"/>
        <s v="Andrew Roach"/>
        <s v="Jonathan Gonzalez"/>
        <s v="Kenneth Morrow"/>
        <s v="Kaitlyn Martinez"/>
        <s v="Tiffany Wolf"/>
        <s v="James Reyes"/>
        <s v="Samantha Sellers"/>
        <s v="Michael Kim"/>
        <s v="Emily Davis"/>
        <s v="Adam Evans"/>
        <s v="Alejandra Galloway"/>
        <s v="Cindy Johnston"/>
        <s v="Taylor Krueger II"/>
        <s v="Kimberly Vang"/>
        <s v="Alex Allen"/>
        <s v="Dawn Caldwell"/>
        <s v="Connie Cline"/>
        <s v="Christine Smith"/>
        <s v="Dana Burke"/>
        <s v="Suzanne Lopez"/>
        <s v="Meagan Thompson"/>
        <s v="Erica Welch"/>
        <s v="Debra Reilly"/>
        <s v="Rachel Hill"/>
        <s v="Lauren Hill"/>
        <s v="Andrea Castro"/>
        <s v="Sarah Cruz"/>
        <s v="Teresa Patrick PhD"/>
        <s v="Brittany Thompson"/>
        <s v="Sean Wells"/>
        <s v="Robert Simmons"/>
        <s v="William Holt"/>
        <s v="Brandon Garcia"/>
        <s v="Alexander Jones"/>
        <s v="William Anderson"/>
        <s v="Shawna Glover"/>
        <s v="Susan Galvan"/>
        <s v="Jason King"/>
        <s v="Alexander Simmons"/>
        <s v="James Moore"/>
        <s v="Frank Garza"/>
        <s v="Cynthia Parker DVM"/>
        <s v="Robert Smith"/>
        <s v="Marie Valdez"/>
        <s v="Patty Duke"/>
        <s v="Teresa Lucas"/>
        <s v="Melanie Lowe"/>
        <s v="Isaiah Morales"/>
        <s v="Connor Fry"/>
        <s v="Autumn Nguyen"/>
        <s v="Jasmin Pena"/>
        <s v="Mrs. Carol Williams MD"/>
        <s v="Andrew Lutz"/>
        <s v="Julie Martin"/>
        <s v="Lisa Brown"/>
        <s v="Holly King"/>
        <s v="Ricky Sanders"/>
        <s v="Gary Taylor"/>
        <s v="Arthur Thornton"/>
        <s v="Eric Leonard"/>
        <s v="William Smith"/>
        <s v="Daniel Daniel"/>
        <s v="Joel Nicholson"/>
        <s v="Benjamin Burke"/>
        <s v="Brandi Roberts"/>
        <s v="Patrick Anderson"/>
        <s v="Jerry Butler"/>
        <s v="Cynthia Garrett"/>
        <s v="Carrie Hall"/>
        <s v="Paul Brown"/>
        <s v="William Villarreal"/>
        <s v="Randy Pittman"/>
        <s v="Alexandra Roth"/>
        <s v="Stephanie Mitchell"/>
        <s v="Michelle Kemp"/>
        <s v="Corey Hicks"/>
        <s v="Melinda Hancock"/>
        <s v="Julian Smith"/>
        <s v="Brooke Davis"/>
        <s v="Diane Williams"/>
        <s v="Stephanie Beck"/>
        <s v="Joe Kim"/>
        <s v="Tammy Byrd"/>
        <s v="Scott Gomez"/>
        <s v="Sean Davis"/>
        <s v="Luis Hunter"/>
        <s v="Rachel Mahoney MD"/>
        <s v="Christina Woodward"/>
        <s v="Shawna Moore"/>
        <s v="Stacy Jones"/>
        <s v="Ms. Susan Suarez"/>
        <s v="Donna Briggs"/>
        <s v="Tiffany Russell"/>
        <s v="Shawn Phillips"/>
        <s v="Peter Wilson"/>
        <s v="Joe Bernard"/>
        <s v="Brittany Hamilton"/>
        <s v="Maria Rogers"/>
        <s v="Rebecca Miller"/>
        <s v="Bryan Velazquez"/>
        <s v="William Montgomery"/>
        <s v="Robert Berg"/>
        <s v="Peter White"/>
        <s v="Ashley Garcia"/>
        <s v="Brandon Smith"/>
        <s v="Kristen Orozco"/>
        <s v="Joanna Logan"/>
        <s v="Mark Harper"/>
        <s v="Jaime Hanson"/>
        <s v="Johnathan Morris"/>
        <s v="Jeffrey Sosa"/>
        <s v="Mitchell Sharp"/>
        <s v="Jose Peters"/>
        <s v="Jeffrey Torres"/>
        <s v="Noah Lee"/>
        <s v="Jeremy Graham"/>
        <s v="Mary Harrison"/>
        <s v="Meghan Roy"/>
        <s v="Kevin Moore"/>
        <s v="Pedro Roth"/>
        <s v="Holly Donaldson"/>
        <s v="Patricia Boyer"/>
        <s v="Alexander Mccarty"/>
        <s v="Michael Baldwin DDS"/>
        <s v="Anna Harper"/>
        <s v="Steve Green"/>
        <s v="Edwin Boyd"/>
        <s v="Emily Chambers"/>
        <s v="Hunter Martinez"/>
        <s v="Victor Moss"/>
        <s v="Kelly Lucas"/>
        <s v="Reginald Richardson"/>
        <s v="Patrick Sanchez"/>
        <s v="Michelle Chen DDS"/>
        <s v="Richard Sherman"/>
        <s v="Robert Williams"/>
        <s v="Samuel Alexander"/>
        <s v="Anthony Graham"/>
        <s v="Dr. Lynn Hoffman"/>
        <s v="Miss April Howard"/>
        <s v="Tyler Rodriguez"/>
        <s v="Kevin Bowman"/>
        <s v="Christopher Henry"/>
        <s v="Joshua Richardson"/>
        <s v="Amy Washington"/>
        <s v="Amanda Cook"/>
        <s v="Scott Montes"/>
        <s v="Sean Thomas"/>
        <s v="Amanda Roberts"/>
        <s v="Joanna Rose"/>
        <s v="Willie Russell"/>
        <s v="Peter Day"/>
        <s v="Matthew Sherman"/>
        <s v="Stephanie Moore DDS"/>
        <s v="Brandon Fletcher"/>
        <s v="Ryan Thomas"/>
        <s v="Mrs. Amber Luna DVM"/>
        <s v="Crystal Fry"/>
        <s v="William Le"/>
        <s v="Antonio Carter"/>
        <s v="Beth Abbott"/>
        <s v="Christine Howard"/>
        <s v="Chelsea Arellano"/>
        <s v="Stacy Rodriguez"/>
        <s v="Shannon Green"/>
        <s v="Donna Reed"/>
        <s v="Michelle Wang"/>
        <s v="Thomas Barker"/>
        <s v="Kimberly Cline"/>
        <s v="Clinton Weber"/>
        <s v="Lindsay Murphy"/>
        <s v="Mallory May"/>
        <s v="Larry Torres"/>
        <s v="Tina Mccormick"/>
        <s v="Brian Sampson"/>
        <s v="Christine Park"/>
        <s v="Vicki Lewis"/>
        <s v="Matthew Black"/>
        <s v="Felicia Lee"/>
        <s v="James Black"/>
        <s v="James Mitchell"/>
        <s v="Alexander Mcconnell"/>
        <s v="Danielle Clark"/>
        <s v="Robert Foster"/>
        <s v="Gary Clark"/>
        <s v="Cynthia Martin"/>
        <s v="Brianna Cunningham"/>
        <s v="Dr. Jesus Johnson"/>
        <s v="Jessica Jarvis"/>
        <s v="Theresa Hensley"/>
        <s v="James Mckee"/>
        <s v="Jonathan Blanchard"/>
        <s v="Melissa Estrada"/>
        <s v="John Gallagher"/>
        <s v="Catherine Velasquez"/>
        <s v="Joyce Thomas"/>
        <s v="Theresa Hughes"/>
        <s v="Steven Golden"/>
        <s v="Miss April Smith"/>
      </sharedItems>
    </cacheField>
    <cacheField name="Age" numFmtId="1">
      <sharedItems containsSemiMixedTypes="0" containsString="0" containsNumber="1" containsInteger="1" minValue="18" maxValue="25" count="8">
        <n v="19"/>
        <n v="23"/>
        <n v="22"/>
        <n v="24"/>
        <n v="18"/>
        <n v="20"/>
        <n v="25"/>
        <n v="21"/>
      </sharedItems>
    </cacheField>
    <cacheField name="Email" numFmtId="0">
      <sharedItems count="200">
        <s v="sean43@hotmail.com"/>
        <s v="vbecker@harvey.com"/>
        <s v="hollydavis@gmail.com"/>
        <s v="ganderson@wheeler-atkins.info"/>
        <s v="hayesdiane@gmail.com"/>
        <s v="qanderson@taylor.com"/>
        <s v="drodriguez@nguyen-cooper.info"/>
        <s v="michelle27@hubbard-webster.com"/>
        <s v="jacksonhannah@miles.com"/>
        <s v="george02@hotmail.com"/>
        <s v="bryantmargaret@hernandez.com"/>
        <s v="danielpowers@schmidt.com"/>
        <s v="james96@webb.org"/>
        <s v="hleon@smith.net"/>
        <s v="carolyn34@yahoo.com"/>
        <s v="shawkaren@smith.net"/>
        <s v="kelly96@gmail.com"/>
        <s v="patelmercedes@green.com"/>
        <s v="nicholasmejia@hotmail.com"/>
        <s v="davismichael@yahoo.com"/>
        <s v="thomasbennett@gmail.com"/>
        <s v="robert13@gmail.com"/>
        <s v="hernandezbrent@delgado-terry.com"/>
        <s v="amy78@jackson.com"/>
        <s v="elizabeth41@hill-johnson.com"/>
        <s v="timothy00@lopez.com"/>
        <s v="valvarez@hotmail.com"/>
        <s v="melissa92@hicks.com"/>
        <s v="hbrooks@nelson-bennett.info"/>
        <s v="chavezallison@yahoo.com"/>
        <s v="barreracourtney@nguyen.com"/>
        <s v="daniel00@gmail.com"/>
        <s v="warrensmith@yahoo.com"/>
        <s v="brandon58@cummings-johnson.biz"/>
        <s v="emily28@hotmail.com"/>
        <s v="jacob29@gmail.com"/>
        <s v="alison62@barrett.com"/>
        <s v="theresa04@gmail.com"/>
        <s v="oliviawalls@hotmail.com"/>
        <s v="jrodriguez@cox.info"/>
        <s v="daniel72@long.com"/>
        <s v="jennifer82@cruz.com"/>
        <s v="jasminelewis@washington.com"/>
        <s v="amanda74@gmail.com"/>
        <s v="xwarner@nelson.com"/>
        <s v="sparksanna@gmail.com"/>
        <s v="epatel@edwards-smith.info"/>
        <s v="nicolepruitt@bell-gibson.org"/>
        <s v="lutzjason@neal.biz"/>
        <s v="masseytom@gmail.com"/>
        <s v="john53@hotmail.com"/>
        <s v="ajackson@hotmail.com"/>
        <s v="janice01@yahoo.com"/>
        <s v="patrick16@yahoo.com"/>
        <s v="angelawilliams@gmail.com"/>
        <s v="annette64@gmail.com"/>
        <s v="williamsjack@randolph.com"/>
        <s v="buckleyandrew@gmail.com"/>
        <s v="veronicarogers@yahoo.com"/>
        <s v="kirstenowen@yahoo.com"/>
        <s v="theresarosales@gmail.com"/>
        <s v="daniel93@lee-morris.com"/>
        <s v="christianbrown@yahoo.com"/>
        <s v="michaelpratt@murray.net"/>
        <s v="colemary@cochran.net"/>
        <s v="joshua76@yahoo.com"/>
        <s v="meganlewis@butler-bright.com"/>
        <s v="sherri94@hines.net"/>
        <s v="rhall@gmail.com"/>
        <s v="stewartlori@yahoo.com"/>
        <s v="uyoder@miller.com"/>
        <s v="petersoncheryl@davis-bush.com"/>
        <s v="robin33@knapp.com"/>
        <s v="kristin46@hotmail.com"/>
        <s v="michellemoody@williams.com"/>
        <s v="susanwilliams@hotmail.com"/>
        <s v="fosterglen@gmail.com"/>
        <s v="linda93@gmail.com"/>
        <s v="joseph78@gmail.com"/>
        <s v="millerkevin@white.com"/>
        <s v="zmclean@boyd.net"/>
        <s v="rwinters@hotmail.com"/>
        <s v="salinaschristine@gmail.com"/>
        <s v="phillipsmith@gmail.com"/>
        <s v="jacksonjulie@estrada.org"/>
        <s v="tina80@miller-navarro.com"/>
        <s v="uschultz@palmer-lambert.biz"/>
        <s v="teresamitchell@hernandez.net"/>
        <s v="juan08@yahoo.com"/>
        <s v="joseyoung@richardson.net"/>
        <s v="currymelissa@coleman-meza.info"/>
        <s v="amanda13@smith.org"/>
        <s v="avalenzuela@norris-wood.org"/>
        <s v="kimberly95@gmail.com"/>
        <s v="mbass@hotmail.com"/>
        <s v="qcantu@woods.info"/>
        <s v="kimberly88@herring.info"/>
        <s v="smithkaren@yahoo.com"/>
        <s v="reneemartinez@hotmail.com"/>
        <s v="michaelconner@hotmail.com"/>
        <s v="bpowell@gmail.com"/>
        <s v="chavezryan@smith.com"/>
        <s v="stephensbrenda@perez.com"/>
        <s v="goodwinrachel@burke.org"/>
        <s v="daviscory@yahoo.com"/>
        <s v="ortizjoseph@moore.com"/>
        <s v="vbonilla@ho.com"/>
        <s v="yflores@brooks.info"/>
        <s v="mikayla15@chavez.com"/>
        <s v="whitechristine@gonzalez.info"/>
        <s v="cassiemcdonald@gmail.com"/>
        <s v="nhardin@thomas.com"/>
        <s v="blackbrandi@gmail.com"/>
        <s v="zrowe@morales.net"/>
        <s v="yvonnemiller@robinson.com"/>
        <s v="olucas@cline-robinson.com"/>
        <s v="dcontreras@hotmail.com"/>
        <s v="tylerbaldwin@yahoo.com"/>
        <s v="ystevens@yahoo.com"/>
        <s v="michaelarroyo@guerrero.com"/>
        <s v="knightkelly@miller-wong.org"/>
        <s v="katherine18@hammond.info"/>
        <s v="fcabrera@haynes-clark.com"/>
        <s v="sandra21@burnett-gutierrez.com"/>
        <s v="joshuagibbs@ross.biz"/>
        <s v="marcpatel@gmail.com"/>
        <s v="gabrielbrown@hotmail.com"/>
        <s v="aaron93@yahoo.com"/>
        <s v="bridgessavannah@yahoo.com"/>
        <s v="sandy22@rollins.com"/>
        <s v="morgan52@taylor.com"/>
        <s v="schwartztina@yahoo.com"/>
        <s v="bakerjeremy@young-jones.info"/>
        <s v="smithamanda@johnson.org"/>
        <s v="rebeccapreston@young.info"/>
        <s v="alexandra82@yahoo.com"/>
        <s v="salvarado@yahoo.com"/>
        <s v="iherring@solis.com"/>
        <s v="anamartin@hotmail.com"/>
        <s v="jonathangarner@yahoo.com"/>
        <s v="brusso@hotmail.com"/>
        <s v="cruzjohn@hotmail.com"/>
        <s v="brownronald@clay.com"/>
        <s v="steelejohn@nguyen.com"/>
        <s v="stephenanderson@gmail.com"/>
        <s v="stephen13@miller.com"/>
        <s v="hannahdillon@giles.com"/>
        <s v="vanessameyers@hotmail.com"/>
        <s v="april31@gmail.com"/>
        <s v="michael36@yahoo.com"/>
        <s v="timothyfuentes@gmail.com"/>
        <s v="susan10@yahoo.com"/>
        <s v="smaynard@cole.com"/>
        <s v="woodmonica@gmail.com"/>
        <s v="cynthia58@yahoo.com"/>
        <s v="juliepeterson@pearson-shepherd.net"/>
        <s v="whitakerjoseph@yahoo.com"/>
        <s v="zgray@salazar.net"/>
        <s v="xstewart@huff.org"/>
        <s v="morr@gmail.com"/>
        <s v="jameslisa@morrison.com"/>
        <s v="jhill@bell.com"/>
        <s v="brianna99@hotmail.com"/>
        <s v="gregory11@russell-morris.com"/>
        <s v="tranjulia@romero.biz"/>
        <s v="ogordon@guerrero-holt.com"/>
        <s v="dennisconner@sellers.com"/>
        <s v="mikecollins@gmail.com"/>
        <s v="mmelendez@lewis.com"/>
        <s v="davismatthew@gmail.com"/>
        <s v="bhiggins@jenkins-stevenson.com"/>
        <s v="tammyjones@clayton.info"/>
        <s v="morrisonlucas@gmail.com"/>
        <s v="rachel70@hotmail.com"/>
        <s v="zthompson@lee.com"/>
        <s v="jamesgeorge@yahoo.com"/>
        <s v="goodwinerica@brown.com"/>
        <s v="bperry@hotmail.com"/>
        <s v="lewisbetty@hotmail.com"/>
        <s v="torresjacqueline@chambers-woodard.net"/>
        <s v="sgarza@nunez.net"/>
        <s v="gracejohnson@yahoo.com"/>
        <s v="corysmith@anderson-anderson.com"/>
        <s v="crystal02@schmidt.com"/>
        <s v="teresamoreno@rubio-sanchez.com"/>
        <s v="alyssawagner@gmail.com"/>
        <s v="caitlynmoody@adams.com"/>
        <s v="alexanderfernando@gmail.com"/>
        <s v="xharris@hotmail.com"/>
        <s v="nhurst@hester.info"/>
        <s v="evance@moore.org"/>
        <s v="andersonmichelle@yahoo.com"/>
        <s v="jonathanfoster@sanchez.com"/>
        <s v="bowmanmatthew@martin-duran.org"/>
        <s v="elliottsheryl@wilcox.net"/>
        <s v="fsutton@gmail.com"/>
        <s v="zanderson@barrera.net"/>
        <s v="mstanley@yahoo.com"/>
        <s v="nvasquez@yahoo.com"/>
        <s v="logansanchez@manning.com"/>
      </sharedItems>
    </cacheField>
    <cacheField name="Department" numFmtId="0">
      <sharedItems count="5">
        <s v="Mathematics"/>
        <s v="Chemistry"/>
        <s v="Physics"/>
        <s v="Computer Science"/>
        <s v="Biology"/>
      </sharedItems>
    </cacheField>
    <cacheField name="GPA" numFmtId="2">
      <sharedItems containsSemiMixedTypes="0" containsString="0" containsNumber="1" minValue="2" maxValue="3.99" count="133">
        <n v="3.16"/>
        <n v="3.75"/>
        <n v="2.95"/>
        <n v="3.55"/>
        <n v="2.29"/>
        <n v="3.3"/>
        <n v="2.44"/>
        <n v="3.44"/>
        <n v="3.27"/>
        <n v="3.09"/>
        <n v="3.42"/>
        <n v="2.33"/>
        <n v="3.76"/>
        <n v="2.02"/>
        <n v="3.35"/>
        <n v="3.21"/>
        <n v="3.92"/>
        <n v="3.43"/>
        <n v="2.05"/>
        <n v="3.68"/>
        <n v="3.84"/>
        <n v="3.82"/>
        <n v="2.99"/>
        <n v="2.49"/>
        <n v="3.56"/>
        <n v="3.58"/>
        <n v="2.82"/>
        <n v="2.98"/>
        <n v="2.15"/>
        <n v="2.73"/>
        <n v="2.92"/>
        <n v="3.51"/>
        <n v="2.75"/>
        <n v="3.26"/>
        <n v="3.74"/>
        <n v="2.37"/>
        <n v="2.67"/>
        <n v="2.7"/>
        <n v="3.5"/>
        <n v="3.6"/>
        <n v="3.47"/>
        <n v="3.05"/>
        <n v="3.06"/>
        <n v="3.94"/>
        <n v="2.13"/>
        <n v="3.64"/>
        <n v="2.81"/>
        <n v="2.94"/>
        <n v="3.8"/>
        <n v="2.62"/>
        <n v="2.1"/>
        <n v="2.39"/>
        <n v="3.29"/>
        <n v="2.79"/>
        <n v="2.47"/>
        <n v="3.88"/>
        <n v="2.18"/>
        <n v="3.18"/>
        <n v="3.46"/>
        <n v="2.87"/>
        <n v="2.53"/>
        <n v="3.23"/>
        <n v="2.6"/>
        <n v="2.83"/>
        <n v="2.74"/>
        <n v="3.67"/>
        <n v="3.28"/>
        <n v="3.97"/>
        <n v="3.07"/>
        <n v="2.14"/>
        <n v="3.52"/>
        <n v="2.84"/>
        <n v="3.86"/>
        <n v="2.3"/>
        <n v="3.77"/>
        <n v="3.39"/>
        <n v="3.2"/>
        <n v="3.95"/>
        <n v="2.11"/>
        <n v="2.76"/>
        <n v="3"/>
        <n v="2.85"/>
        <n v="3.37"/>
        <n v="3.41"/>
        <n v="2.86"/>
        <n v="2.51"/>
        <n v="2.38"/>
        <n v="3.25"/>
        <n v="2.2"/>
        <n v="2.77"/>
        <n v="2.48"/>
        <n v="3.63"/>
        <n v="3.03"/>
        <n v="3.65"/>
        <n v="3.32"/>
        <n v="2.41"/>
        <n v="2.9"/>
        <n v="3.72"/>
        <n v="2.04"/>
        <n v="2.08"/>
        <n v="2.5"/>
        <n v="3.98"/>
        <n v="3.85"/>
        <n v="3.19"/>
        <n v="2.03"/>
        <n v="2.55"/>
        <n v="2.71"/>
        <n v="3.99"/>
        <n v="3.78"/>
        <n v="3.71"/>
        <n v="2.59"/>
        <n v="2.78"/>
        <n v="2.45"/>
        <n v="2.58"/>
        <n v="3.14"/>
        <n v="3.59"/>
        <n v="2.22"/>
        <n v="3.12"/>
        <n v="2.54"/>
        <n v="2.01"/>
        <n v="2.09"/>
        <n v="3.11"/>
        <n v="2"/>
        <n v="3.9"/>
        <n v="2.63"/>
        <n v="2.61"/>
        <n v="3.96"/>
        <n v="2.34"/>
        <n v="2.24"/>
        <n v="2.06"/>
        <n v="2.17"/>
        <n v="2.57"/>
        <n v="3.15"/>
      </sharedItems>
    </cacheField>
    <cacheField name="GraduationYear" numFmtId="1">
      <sharedItems containsSemiMixedTypes="0" containsString="0" containsNumber="1" containsInteger="1" minValue="2024" maxValue="2030" count="7">
        <n v="2026"/>
        <n v="2027"/>
        <n v="2029"/>
        <n v="2025"/>
        <n v="2030"/>
        <n v="2024"/>
        <n v="2028"/>
      </sharedItems>
    </cacheField>
    <cacheField name="Attendance" numFmtId="2">
      <sharedItems containsSemiMixedTypes="0" containsString="0" containsNumber="1" minValue="60" maxValue="99.96" count="200">
        <n v="68.43"/>
        <n v="76.85"/>
        <n v="68.72"/>
        <n v="93.83"/>
        <n v="78.25"/>
        <n v="71.19"/>
        <n v="97.32"/>
        <n v="72.57"/>
        <n v="96.39"/>
        <n v="61.74"/>
        <n v="88.28"/>
        <n v="79.36"/>
        <n v="77.77"/>
        <n v="61.45"/>
        <n v="61.63"/>
        <n v="73.31"/>
        <n v="97.88"/>
        <n v="84.71"/>
        <n v="74.75"/>
        <n v="84.48"/>
        <n v="68.25"/>
        <n v="66.6"/>
        <n v="74.47"/>
        <n v="94.53"/>
        <n v="80.38"/>
        <n v="71.88"/>
        <n v="98.01"/>
        <n v="92.64"/>
        <n v="72.92"/>
        <n v="98.88"/>
        <n v="99.49"/>
        <n v="76.35"/>
        <n v="86.24"/>
        <n v="76.23"/>
        <n v="70.29"/>
        <n v="63.31"/>
        <n v="70.54"/>
        <n v="70.86"/>
        <n v="75.95"/>
        <n v="67.4"/>
        <n v="98.15"/>
        <n v="64.12"/>
        <n v="85.01"/>
        <n v="77.67"/>
        <n v="76.94"/>
        <n v="74.88"/>
        <n v="94.73"/>
        <n v="71.22"/>
        <n v="60.82"/>
        <n v="96.72"/>
        <n v="94.58"/>
        <n v="71.08"/>
        <n v="80.94"/>
        <n v="64.36"/>
        <n v="63.74"/>
        <n v="93.5"/>
        <n v="76.41"/>
        <n v="86.47"/>
        <n v="97.73"/>
        <n v="69.81"/>
        <n v="60.53"/>
        <n v="60.97"/>
        <n v="88.38"/>
        <n v="96.98"/>
        <n v="78.69"/>
        <n v="75"/>
        <n v="81.71"/>
        <n v="94.36"/>
        <n v="86.09"/>
        <n v="69.32"/>
        <n v="90.98"/>
        <n v="65.38"/>
        <n v="66.62"/>
        <n v="84.51"/>
        <n v="69.55"/>
        <n v="88.19"/>
        <n v="73.98"/>
        <n v="71.1"/>
        <n v="99.96"/>
        <n v="61.62"/>
        <n v="85.83"/>
        <n v="61.55"/>
        <n v="90.41"/>
        <n v="69.2"/>
        <n v="63.59"/>
        <n v="85.94"/>
        <n v="89.3"/>
        <n v="87.12"/>
        <n v="62.08"/>
        <n v="71.77"/>
        <n v="78.04"/>
        <n v="71.48"/>
        <n v="92.42"/>
        <n v="65.24"/>
        <n v="84.49"/>
        <n v="99.53"/>
        <n v="96.1"/>
        <n v="68.89"/>
        <n v="60"/>
        <n v="99.22"/>
        <n v="95.31"/>
        <n v="96.78"/>
        <n v="76.62"/>
        <n v="89.78"/>
        <n v="68.51"/>
        <n v="75.69"/>
        <n v="94.06"/>
        <n v="65.1"/>
        <n v="95.75"/>
        <n v="79.86"/>
        <n v="77.04"/>
        <n v="72.23"/>
        <n v="96.67"/>
        <n v="80.7"/>
        <n v="92.16"/>
        <n v="94.31"/>
        <n v="96.9"/>
        <n v="72.14"/>
        <n v="73.59"/>
        <n v="83.8"/>
        <n v="77.65"/>
        <n v="97.31"/>
        <n v="75.9"/>
        <n v="79.11"/>
        <n v="84.69"/>
        <n v="76.19"/>
        <n v="99.7"/>
        <n v="63.95"/>
        <n v="68.82"/>
        <n v="72.91"/>
        <n v="65.91"/>
        <n v="71.37"/>
        <n v="91.17"/>
        <n v="80.92"/>
        <n v="61.36"/>
        <n v="99.3"/>
        <n v="84.64"/>
        <n v="62.36"/>
        <n v="86.45"/>
        <n v="75.13"/>
        <n v="65.43"/>
        <n v="82.55"/>
        <n v="89.08"/>
        <n v="86.85"/>
        <n v="69.9"/>
        <n v="80.99"/>
        <n v="81.51"/>
        <n v="88.67"/>
        <n v="74.39"/>
        <n v="91.91"/>
        <n v="85.12"/>
        <n v="61.53"/>
        <n v="81.86"/>
        <n v="94.48"/>
        <n v="82.7"/>
        <n v="67.03"/>
        <n v="80.42"/>
        <n v="90.28"/>
        <n v="64.4"/>
        <n v="92.68"/>
        <n v="66.7"/>
        <n v="81.36"/>
        <n v="75.43"/>
        <n v="69.94"/>
        <n v="85.9"/>
        <n v="61.5"/>
        <n v="90.4"/>
        <n v="81.08"/>
        <n v="95.03"/>
        <n v="80.83"/>
        <n v="61.4"/>
        <n v="65.74"/>
        <n v="91.82"/>
        <n v="79.68"/>
        <n v="77.68"/>
        <n v="72.74"/>
        <n v="71.38"/>
        <n v="98.64"/>
        <n v="77.32"/>
        <n v="95.36"/>
        <n v="85.93"/>
        <n v="94.34"/>
        <n v="94.1"/>
        <n v="98.25"/>
        <n v="87.92"/>
        <n v="92.22"/>
        <n v="89.33"/>
        <n v="84.21"/>
        <n v="88.69"/>
        <n v="88.63"/>
        <n v="61.64"/>
        <n v="80.64"/>
        <n v="91.71"/>
        <n v="69.72"/>
        <n v="78.61"/>
        <n v="77.4"/>
        <n v="76.11"/>
        <n v="64.87"/>
        <n v="81.03"/>
        <n v="77.85"/>
      </sharedItems>
    </cacheField>
    <cacheField name="Mode of Study" numFmtId="0">
      <sharedItems count="2">
        <s v="FULL TIME"/>
        <s v="PART TIME"/>
      </sharedItems>
    </cacheField>
    <cacheField name="Gender" numFmtId="49">
      <sharedItems count="2">
        <s v="Male"/>
        <s v="Female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0"/>
    <x v="0"/>
  </r>
  <r>
    <x v="2"/>
    <x v="2"/>
    <x v="2"/>
    <x v="2"/>
    <x v="2"/>
    <x v="2"/>
    <x v="1"/>
    <x v="2"/>
    <x v="0"/>
    <x v="1"/>
  </r>
  <r>
    <x v="3"/>
    <x v="3"/>
    <x v="3"/>
    <x v="3"/>
    <x v="2"/>
    <x v="3"/>
    <x v="2"/>
    <x v="3"/>
    <x v="0"/>
    <x v="0"/>
  </r>
  <r>
    <x v="4"/>
    <x v="4"/>
    <x v="4"/>
    <x v="4"/>
    <x v="1"/>
    <x v="4"/>
    <x v="3"/>
    <x v="4"/>
    <x v="0"/>
    <x v="1"/>
  </r>
  <r>
    <x v="5"/>
    <x v="5"/>
    <x v="1"/>
    <x v="5"/>
    <x v="0"/>
    <x v="5"/>
    <x v="2"/>
    <x v="5"/>
    <x v="0"/>
    <x v="0"/>
  </r>
  <r>
    <x v="6"/>
    <x v="6"/>
    <x v="5"/>
    <x v="6"/>
    <x v="1"/>
    <x v="6"/>
    <x v="2"/>
    <x v="6"/>
    <x v="0"/>
    <x v="0"/>
  </r>
  <r>
    <x v="7"/>
    <x v="7"/>
    <x v="5"/>
    <x v="7"/>
    <x v="0"/>
    <x v="7"/>
    <x v="3"/>
    <x v="7"/>
    <x v="0"/>
    <x v="1"/>
  </r>
  <r>
    <x v="8"/>
    <x v="8"/>
    <x v="6"/>
    <x v="8"/>
    <x v="3"/>
    <x v="8"/>
    <x v="1"/>
    <x v="8"/>
    <x v="0"/>
    <x v="0"/>
  </r>
  <r>
    <x v="9"/>
    <x v="9"/>
    <x v="4"/>
    <x v="9"/>
    <x v="2"/>
    <x v="9"/>
    <x v="4"/>
    <x v="9"/>
    <x v="0"/>
    <x v="1"/>
  </r>
  <r>
    <x v="10"/>
    <x v="10"/>
    <x v="5"/>
    <x v="10"/>
    <x v="2"/>
    <x v="10"/>
    <x v="0"/>
    <x v="10"/>
    <x v="0"/>
    <x v="0"/>
  </r>
  <r>
    <x v="11"/>
    <x v="11"/>
    <x v="5"/>
    <x v="11"/>
    <x v="1"/>
    <x v="11"/>
    <x v="1"/>
    <x v="11"/>
    <x v="0"/>
    <x v="0"/>
  </r>
  <r>
    <x v="12"/>
    <x v="12"/>
    <x v="2"/>
    <x v="12"/>
    <x v="0"/>
    <x v="12"/>
    <x v="3"/>
    <x v="12"/>
    <x v="0"/>
    <x v="0"/>
  </r>
  <r>
    <x v="13"/>
    <x v="13"/>
    <x v="5"/>
    <x v="13"/>
    <x v="3"/>
    <x v="13"/>
    <x v="3"/>
    <x v="13"/>
    <x v="0"/>
    <x v="0"/>
  </r>
  <r>
    <x v="14"/>
    <x v="14"/>
    <x v="1"/>
    <x v="14"/>
    <x v="3"/>
    <x v="14"/>
    <x v="4"/>
    <x v="14"/>
    <x v="0"/>
    <x v="1"/>
  </r>
  <r>
    <x v="15"/>
    <x v="15"/>
    <x v="3"/>
    <x v="15"/>
    <x v="2"/>
    <x v="15"/>
    <x v="2"/>
    <x v="15"/>
    <x v="0"/>
    <x v="1"/>
  </r>
  <r>
    <x v="16"/>
    <x v="16"/>
    <x v="3"/>
    <x v="16"/>
    <x v="3"/>
    <x v="16"/>
    <x v="1"/>
    <x v="16"/>
    <x v="0"/>
    <x v="1"/>
  </r>
  <r>
    <x v="17"/>
    <x v="17"/>
    <x v="2"/>
    <x v="17"/>
    <x v="1"/>
    <x v="10"/>
    <x v="5"/>
    <x v="17"/>
    <x v="0"/>
    <x v="0"/>
  </r>
  <r>
    <x v="18"/>
    <x v="18"/>
    <x v="7"/>
    <x v="18"/>
    <x v="3"/>
    <x v="17"/>
    <x v="1"/>
    <x v="18"/>
    <x v="1"/>
    <x v="0"/>
  </r>
  <r>
    <x v="19"/>
    <x v="19"/>
    <x v="1"/>
    <x v="19"/>
    <x v="2"/>
    <x v="18"/>
    <x v="3"/>
    <x v="19"/>
    <x v="1"/>
    <x v="0"/>
  </r>
  <r>
    <x v="20"/>
    <x v="20"/>
    <x v="4"/>
    <x v="20"/>
    <x v="3"/>
    <x v="11"/>
    <x v="3"/>
    <x v="20"/>
    <x v="0"/>
    <x v="0"/>
  </r>
  <r>
    <x v="21"/>
    <x v="21"/>
    <x v="1"/>
    <x v="21"/>
    <x v="2"/>
    <x v="19"/>
    <x v="6"/>
    <x v="21"/>
    <x v="0"/>
    <x v="1"/>
  </r>
  <r>
    <x v="22"/>
    <x v="22"/>
    <x v="6"/>
    <x v="22"/>
    <x v="0"/>
    <x v="20"/>
    <x v="6"/>
    <x v="22"/>
    <x v="0"/>
    <x v="1"/>
  </r>
  <r>
    <x v="23"/>
    <x v="23"/>
    <x v="7"/>
    <x v="23"/>
    <x v="1"/>
    <x v="21"/>
    <x v="1"/>
    <x v="23"/>
    <x v="0"/>
    <x v="0"/>
  </r>
  <r>
    <x v="24"/>
    <x v="24"/>
    <x v="2"/>
    <x v="24"/>
    <x v="3"/>
    <x v="22"/>
    <x v="0"/>
    <x v="24"/>
    <x v="0"/>
    <x v="0"/>
  </r>
  <r>
    <x v="25"/>
    <x v="25"/>
    <x v="2"/>
    <x v="25"/>
    <x v="4"/>
    <x v="23"/>
    <x v="5"/>
    <x v="25"/>
    <x v="0"/>
    <x v="0"/>
  </r>
  <r>
    <x v="26"/>
    <x v="26"/>
    <x v="0"/>
    <x v="26"/>
    <x v="0"/>
    <x v="0"/>
    <x v="5"/>
    <x v="26"/>
    <x v="0"/>
    <x v="1"/>
  </r>
  <r>
    <x v="27"/>
    <x v="27"/>
    <x v="3"/>
    <x v="27"/>
    <x v="2"/>
    <x v="24"/>
    <x v="0"/>
    <x v="27"/>
    <x v="0"/>
    <x v="1"/>
  </r>
  <r>
    <x v="28"/>
    <x v="28"/>
    <x v="6"/>
    <x v="28"/>
    <x v="2"/>
    <x v="25"/>
    <x v="4"/>
    <x v="28"/>
    <x v="0"/>
    <x v="1"/>
  </r>
  <r>
    <x v="29"/>
    <x v="29"/>
    <x v="0"/>
    <x v="29"/>
    <x v="1"/>
    <x v="26"/>
    <x v="5"/>
    <x v="29"/>
    <x v="0"/>
    <x v="1"/>
  </r>
  <r>
    <x v="30"/>
    <x v="30"/>
    <x v="7"/>
    <x v="30"/>
    <x v="2"/>
    <x v="27"/>
    <x v="2"/>
    <x v="30"/>
    <x v="0"/>
    <x v="1"/>
  </r>
  <r>
    <x v="31"/>
    <x v="31"/>
    <x v="3"/>
    <x v="31"/>
    <x v="1"/>
    <x v="15"/>
    <x v="4"/>
    <x v="31"/>
    <x v="0"/>
    <x v="1"/>
  </r>
  <r>
    <x v="32"/>
    <x v="32"/>
    <x v="2"/>
    <x v="32"/>
    <x v="1"/>
    <x v="28"/>
    <x v="4"/>
    <x v="32"/>
    <x v="1"/>
    <x v="1"/>
  </r>
  <r>
    <x v="33"/>
    <x v="33"/>
    <x v="0"/>
    <x v="33"/>
    <x v="3"/>
    <x v="29"/>
    <x v="4"/>
    <x v="33"/>
    <x v="0"/>
    <x v="1"/>
  </r>
  <r>
    <x v="34"/>
    <x v="34"/>
    <x v="6"/>
    <x v="34"/>
    <x v="2"/>
    <x v="30"/>
    <x v="5"/>
    <x v="34"/>
    <x v="0"/>
    <x v="1"/>
  </r>
  <r>
    <x v="35"/>
    <x v="35"/>
    <x v="6"/>
    <x v="35"/>
    <x v="0"/>
    <x v="31"/>
    <x v="5"/>
    <x v="35"/>
    <x v="0"/>
    <x v="1"/>
  </r>
  <r>
    <x v="36"/>
    <x v="36"/>
    <x v="0"/>
    <x v="36"/>
    <x v="4"/>
    <x v="32"/>
    <x v="6"/>
    <x v="36"/>
    <x v="0"/>
    <x v="0"/>
  </r>
  <r>
    <x v="37"/>
    <x v="37"/>
    <x v="2"/>
    <x v="37"/>
    <x v="1"/>
    <x v="33"/>
    <x v="6"/>
    <x v="37"/>
    <x v="0"/>
    <x v="0"/>
  </r>
  <r>
    <x v="38"/>
    <x v="38"/>
    <x v="3"/>
    <x v="38"/>
    <x v="1"/>
    <x v="34"/>
    <x v="5"/>
    <x v="38"/>
    <x v="0"/>
    <x v="0"/>
  </r>
  <r>
    <x v="39"/>
    <x v="39"/>
    <x v="0"/>
    <x v="39"/>
    <x v="4"/>
    <x v="33"/>
    <x v="6"/>
    <x v="39"/>
    <x v="0"/>
    <x v="0"/>
  </r>
  <r>
    <x v="40"/>
    <x v="40"/>
    <x v="3"/>
    <x v="40"/>
    <x v="2"/>
    <x v="35"/>
    <x v="5"/>
    <x v="40"/>
    <x v="0"/>
    <x v="0"/>
  </r>
  <r>
    <x v="41"/>
    <x v="41"/>
    <x v="0"/>
    <x v="41"/>
    <x v="0"/>
    <x v="36"/>
    <x v="1"/>
    <x v="41"/>
    <x v="0"/>
    <x v="0"/>
  </r>
  <r>
    <x v="42"/>
    <x v="42"/>
    <x v="2"/>
    <x v="42"/>
    <x v="0"/>
    <x v="13"/>
    <x v="6"/>
    <x v="42"/>
    <x v="0"/>
    <x v="0"/>
  </r>
  <r>
    <x v="43"/>
    <x v="43"/>
    <x v="4"/>
    <x v="43"/>
    <x v="1"/>
    <x v="37"/>
    <x v="6"/>
    <x v="43"/>
    <x v="0"/>
    <x v="0"/>
  </r>
  <r>
    <x v="44"/>
    <x v="44"/>
    <x v="4"/>
    <x v="44"/>
    <x v="3"/>
    <x v="38"/>
    <x v="4"/>
    <x v="44"/>
    <x v="0"/>
    <x v="0"/>
  </r>
  <r>
    <x v="45"/>
    <x v="45"/>
    <x v="4"/>
    <x v="45"/>
    <x v="1"/>
    <x v="39"/>
    <x v="1"/>
    <x v="45"/>
    <x v="0"/>
    <x v="0"/>
  </r>
  <r>
    <x v="46"/>
    <x v="46"/>
    <x v="5"/>
    <x v="46"/>
    <x v="4"/>
    <x v="40"/>
    <x v="2"/>
    <x v="46"/>
    <x v="0"/>
    <x v="0"/>
  </r>
  <r>
    <x v="47"/>
    <x v="47"/>
    <x v="6"/>
    <x v="47"/>
    <x v="3"/>
    <x v="41"/>
    <x v="4"/>
    <x v="47"/>
    <x v="0"/>
    <x v="1"/>
  </r>
  <r>
    <x v="48"/>
    <x v="48"/>
    <x v="6"/>
    <x v="48"/>
    <x v="2"/>
    <x v="42"/>
    <x v="3"/>
    <x v="48"/>
    <x v="0"/>
    <x v="0"/>
  </r>
  <r>
    <x v="49"/>
    <x v="49"/>
    <x v="0"/>
    <x v="49"/>
    <x v="1"/>
    <x v="43"/>
    <x v="4"/>
    <x v="49"/>
    <x v="0"/>
    <x v="1"/>
  </r>
  <r>
    <x v="50"/>
    <x v="50"/>
    <x v="2"/>
    <x v="50"/>
    <x v="0"/>
    <x v="44"/>
    <x v="4"/>
    <x v="50"/>
    <x v="0"/>
    <x v="0"/>
  </r>
  <r>
    <x v="51"/>
    <x v="51"/>
    <x v="1"/>
    <x v="51"/>
    <x v="1"/>
    <x v="45"/>
    <x v="3"/>
    <x v="51"/>
    <x v="0"/>
    <x v="1"/>
  </r>
  <r>
    <x v="52"/>
    <x v="52"/>
    <x v="2"/>
    <x v="52"/>
    <x v="2"/>
    <x v="24"/>
    <x v="1"/>
    <x v="52"/>
    <x v="0"/>
    <x v="1"/>
  </r>
  <r>
    <x v="53"/>
    <x v="53"/>
    <x v="5"/>
    <x v="53"/>
    <x v="1"/>
    <x v="0"/>
    <x v="2"/>
    <x v="53"/>
    <x v="0"/>
    <x v="0"/>
  </r>
  <r>
    <x v="54"/>
    <x v="54"/>
    <x v="6"/>
    <x v="54"/>
    <x v="1"/>
    <x v="24"/>
    <x v="4"/>
    <x v="54"/>
    <x v="0"/>
    <x v="1"/>
  </r>
  <r>
    <x v="55"/>
    <x v="55"/>
    <x v="0"/>
    <x v="55"/>
    <x v="2"/>
    <x v="46"/>
    <x v="3"/>
    <x v="55"/>
    <x v="0"/>
    <x v="1"/>
  </r>
  <r>
    <x v="56"/>
    <x v="56"/>
    <x v="1"/>
    <x v="56"/>
    <x v="1"/>
    <x v="47"/>
    <x v="5"/>
    <x v="56"/>
    <x v="0"/>
    <x v="0"/>
  </r>
  <r>
    <x v="57"/>
    <x v="57"/>
    <x v="0"/>
    <x v="57"/>
    <x v="3"/>
    <x v="48"/>
    <x v="1"/>
    <x v="57"/>
    <x v="0"/>
    <x v="0"/>
  </r>
  <r>
    <x v="58"/>
    <x v="58"/>
    <x v="7"/>
    <x v="58"/>
    <x v="0"/>
    <x v="49"/>
    <x v="4"/>
    <x v="58"/>
    <x v="0"/>
    <x v="0"/>
  </r>
  <r>
    <x v="59"/>
    <x v="59"/>
    <x v="6"/>
    <x v="59"/>
    <x v="4"/>
    <x v="50"/>
    <x v="5"/>
    <x v="59"/>
    <x v="0"/>
    <x v="0"/>
  </r>
  <r>
    <x v="60"/>
    <x v="60"/>
    <x v="1"/>
    <x v="60"/>
    <x v="4"/>
    <x v="51"/>
    <x v="1"/>
    <x v="60"/>
    <x v="0"/>
    <x v="0"/>
  </r>
  <r>
    <x v="61"/>
    <x v="61"/>
    <x v="1"/>
    <x v="61"/>
    <x v="0"/>
    <x v="52"/>
    <x v="6"/>
    <x v="61"/>
    <x v="0"/>
    <x v="0"/>
  </r>
  <r>
    <x v="62"/>
    <x v="62"/>
    <x v="2"/>
    <x v="62"/>
    <x v="2"/>
    <x v="31"/>
    <x v="1"/>
    <x v="62"/>
    <x v="0"/>
    <x v="0"/>
  </r>
  <r>
    <x v="63"/>
    <x v="63"/>
    <x v="3"/>
    <x v="63"/>
    <x v="1"/>
    <x v="53"/>
    <x v="1"/>
    <x v="63"/>
    <x v="0"/>
    <x v="0"/>
  </r>
  <r>
    <x v="64"/>
    <x v="64"/>
    <x v="4"/>
    <x v="64"/>
    <x v="3"/>
    <x v="54"/>
    <x v="3"/>
    <x v="64"/>
    <x v="0"/>
    <x v="0"/>
  </r>
  <r>
    <x v="65"/>
    <x v="65"/>
    <x v="3"/>
    <x v="65"/>
    <x v="3"/>
    <x v="55"/>
    <x v="3"/>
    <x v="65"/>
    <x v="0"/>
    <x v="0"/>
  </r>
  <r>
    <x v="66"/>
    <x v="66"/>
    <x v="0"/>
    <x v="66"/>
    <x v="3"/>
    <x v="32"/>
    <x v="2"/>
    <x v="66"/>
    <x v="1"/>
    <x v="1"/>
  </r>
  <r>
    <x v="67"/>
    <x v="67"/>
    <x v="0"/>
    <x v="67"/>
    <x v="3"/>
    <x v="56"/>
    <x v="4"/>
    <x v="67"/>
    <x v="0"/>
    <x v="1"/>
  </r>
  <r>
    <x v="68"/>
    <x v="68"/>
    <x v="0"/>
    <x v="68"/>
    <x v="0"/>
    <x v="57"/>
    <x v="1"/>
    <x v="68"/>
    <x v="0"/>
    <x v="1"/>
  </r>
  <r>
    <x v="69"/>
    <x v="69"/>
    <x v="5"/>
    <x v="69"/>
    <x v="1"/>
    <x v="11"/>
    <x v="2"/>
    <x v="69"/>
    <x v="0"/>
    <x v="0"/>
  </r>
  <r>
    <x v="70"/>
    <x v="70"/>
    <x v="2"/>
    <x v="70"/>
    <x v="1"/>
    <x v="58"/>
    <x v="1"/>
    <x v="70"/>
    <x v="0"/>
    <x v="1"/>
  </r>
  <r>
    <x v="71"/>
    <x v="71"/>
    <x v="5"/>
    <x v="71"/>
    <x v="2"/>
    <x v="16"/>
    <x v="4"/>
    <x v="71"/>
    <x v="0"/>
    <x v="1"/>
  </r>
  <r>
    <x v="72"/>
    <x v="72"/>
    <x v="0"/>
    <x v="72"/>
    <x v="2"/>
    <x v="16"/>
    <x v="6"/>
    <x v="72"/>
    <x v="0"/>
    <x v="1"/>
  </r>
  <r>
    <x v="73"/>
    <x v="73"/>
    <x v="5"/>
    <x v="73"/>
    <x v="0"/>
    <x v="59"/>
    <x v="3"/>
    <x v="73"/>
    <x v="0"/>
    <x v="1"/>
  </r>
  <r>
    <x v="74"/>
    <x v="74"/>
    <x v="4"/>
    <x v="74"/>
    <x v="1"/>
    <x v="19"/>
    <x v="0"/>
    <x v="74"/>
    <x v="0"/>
    <x v="0"/>
  </r>
  <r>
    <x v="75"/>
    <x v="75"/>
    <x v="1"/>
    <x v="75"/>
    <x v="3"/>
    <x v="60"/>
    <x v="6"/>
    <x v="75"/>
    <x v="0"/>
    <x v="0"/>
  </r>
  <r>
    <x v="76"/>
    <x v="76"/>
    <x v="6"/>
    <x v="76"/>
    <x v="3"/>
    <x v="61"/>
    <x v="1"/>
    <x v="76"/>
    <x v="0"/>
    <x v="0"/>
  </r>
  <r>
    <x v="77"/>
    <x v="77"/>
    <x v="6"/>
    <x v="77"/>
    <x v="4"/>
    <x v="62"/>
    <x v="0"/>
    <x v="77"/>
    <x v="0"/>
    <x v="1"/>
  </r>
  <r>
    <x v="78"/>
    <x v="78"/>
    <x v="2"/>
    <x v="78"/>
    <x v="3"/>
    <x v="20"/>
    <x v="2"/>
    <x v="78"/>
    <x v="0"/>
    <x v="1"/>
  </r>
  <r>
    <x v="79"/>
    <x v="79"/>
    <x v="0"/>
    <x v="79"/>
    <x v="1"/>
    <x v="14"/>
    <x v="4"/>
    <x v="79"/>
    <x v="0"/>
    <x v="0"/>
  </r>
  <r>
    <x v="80"/>
    <x v="80"/>
    <x v="5"/>
    <x v="80"/>
    <x v="3"/>
    <x v="63"/>
    <x v="1"/>
    <x v="80"/>
    <x v="0"/>
    <x v="0"/>
  </r>
  <r>
    <x v="81"/>
    <x v="81"/>
    <x v="4"/>
    <x v="81"/>
    <x v="4"/>
    <x v="64"/>
    <x v="6"/>
    <x v="81"/>
    <x v="0"/>
    <x v="1"/>
  </r>
  <r>
    <x v="82"/>
    <x v="82"/>
    <x v="1"/>
    <x v="82"/>
    <x v="0"/>
    <x v="38"/>
    <x v="0"/>
    <x v="82"/>
    <x v="0"/>
    <x v="0"/>
  </r>
  <r>
    <x v="83"/>
    <x v="83"/>
    <x v="2"/>
    <x v="83"/>
    <x v="0"/>
    <x v="65"/>
    <x v="1"/>
    <x v="83"/>
    <x v="0"/>
    <x v="0"/>
  </r>
  <r>
    <x v="84"/>
    <x v="84"/>
    <x v="3"/>
    <x v="84"/>
    <x v="2"/>
    <x v="66"/>
    <x v="1"/>
    <x v="84"/>
    <x v="0"/>
    <x v="0"/>
  </r>
  <r>
    <x v="85"/>
    <x v="85"/>
    <x v="3"/>
    <x v="85"/>
    <x v="3"/>
    <x v="67"/>
    <x v="5"/>
    <x v="85"/>
    <x v="0"/>
    <x v="1"/>
  </r>
  <r>
    <x v="86"/>
    <x v="86"/>
    <x v="0"/>
    <x v="86"/>
    <x v="4"/>
    <x v="68"/>
    <x v="1"/>
    <x v="86"/>
    <x v="0"/>
    <x v="0"/>
  </r>
  <r>
    <x v="87"/>
    <x v="87"/>
    <x v="6"/>
    <x v="87"/>
    <x v="3"/>
    <x v="69"/>
    <x v="6"/>
    <x v="87"/>
    <x v="0"/>
    <x v="1"/>
  </r>
  <r>
    <x v="88"/>
    <x v="88"/>
    <x v="4"/>
    <x v="88"/>
    <x v="2"/>
    <x v="70"/>
    <x v="0"/>
    <x v="88"/>
    <x v="0"/>
    <x v="1"/>
  </r>
  <r>
    <x v="89"/>
    <x v="89"/>
    <x v="7"/>
    <x v="89"/>
    <x v="2"/>
    <x v="0"/>
    <x v="5"/>
    <x v="89"/>
    <x v="0"/>
    <x v="0"/>
  </r>
  <r>
    <x v="90"/>
    <x v="90"/>
    <x v="4"/>
    <x v="90"/>
    <x v="0"/>
    <x v="71"/>
    <x v="6"/>
    <x v="90"/>
    <x v="0"/>
    <x v="0"/>
  </r>
  <r>
    <x v="91"/>
    <x v="91"/>
    <x v="6"/>
    <x v="91"/>
    <x v="4"/>
    <x v="72"/>
    <x v="3"/>
    <x v="91"/>
    <x v="0"/>
    <x v="1"/>
  </r>
  <r>
    <x v="92"/>
    <x v="92"/>
    <x v="1"/>
    <x v="92"/>
    <x v="1"/>
    <x v="73"/>
    <x v="6"/>
    <x v="92"/>
    <x v="0"/>
    <x v="0"/>
  </r>
  <r>
    <x v="93"/>
    <x v="93"/>
    <x v="5"/>
    <x v="93"/>
    <x v="2"/>
    <x v="37"/>
    <x v="4"/>
    <x v="93"/>
    <x v="0"/>
    <x v="1"/>
  </r>
  <r>
    <x v="94"/>
    <x v="94"/>
    <x v="6"/>
    <x v="94"/>
    <x v="0"/>
    <x v="74"/>
    <x v="4"/>
    <x v="94"/>
    <x v="0"/>
    <x v="0"/>
  </r>
  <r>
    <x v="95"/>
    <x v="95"/>
    <x v="2"/>
    <x v="95"/>
    <x v="1"/>
    <x v="75"/>
    <x v="5"/>
    <x v="95"/>
    <x v="0"/>
    <x v="0"/>
  </r>
  <r>
    <x v="96"/>
    <x v="96"/>
    <x v="7"/>
    <x v="96"/>
    <x v="1"/>
    <x v="76"/>
    <x v="5"/>
    <x v="96"/>
    <x v="1"/>
    <x v="0"/>
  </r>
  <r>
    <x v="97"/>
    <x v="97"/>
    <x v="7"/>
    <x v="97"/>
    <x v="4"/>
    <x v="77"/>
    <x v="5"/>
    <x v="97"/>
    <x v="0"/>
    <x v="0"/>
  </r>
  <r>
    <x v="98"/>
    <x v="98"/>
    <x v="5"/>
    <x v="98"/>
    <x v="2"/>
    <x v="78"/>
    <x v="1"/>
    <x v="98"/>
    <x v="0"/>
    <x v="0"/>
  </r>
  <r>
    <x v="99"/>
    <x v="99"/>
    <x v="1"/>
    <x v="99"/>
    <x v="4"/>
    <x v="79"/>
    <x v="5"/>
    <x v="99"/>
    <x v="0"/>
    <x v="1"/>
  </r>
  <r>
    <x v="100"/>
    <x v="100"/>
    <x v="6"/>
    <x v="100"/>
    <x v="0"/>
    <x v="80"/>
    <x v="4"/>
    <x v="100"/>
    <x v="0"/>
    <x v="1"/>
  </r>
  <r>
    <x v="101"/>
    <x v="101"/>
    <x v="2"/>
    <x v="101"/>
    <x v="1"/>
    <x v="81"/>
    <x v="5"/>
    <x v="101"/>
    <x v="0"/>
    <x v="0"/>
  </r>
  <r>
    <x v="102"/>
    <x v="102"/>
    <x v="3"/>
    <x v="102"/>
    <x v="2"/>
    <x v="67"/>
    <x v="4"/>
    <x v="102"/>
    <x v="0"/>
    <x v="0"/>
  </r>
  <r>
    <x v="103"/>
    <x v="103"/>
    <x v="1"/>
    <x v="103"/>
    <x v="3"/>
    <x v="70"/>
    <x v="6"/>
    <x v="103"/>
    <x v="0"/>
    <x v="0"/>
  </r>
  <r>
    <x v="104"/>
    <x v="104"/>
    <x v="5"/>
    <x v="104"/>
    <x v="2"/>
    <x v="82"/>
    <x v="4"/>
    <x v="104"/>
    <x v="0"/>
    <x v="0"/>
  </r>
  <r>
    <x v="105"/>
    <x v="105"/>
    <x v="6"/>
    <x v="105"/>
    <x v="3"/>
    <x v="83"/>
    <x v="3"/>
    <x v="105"/>
    <x v="0"/>
    <x v="0"/>
  </r>
  <r>
    <x v="106"/>
    <x v="106"/>
    <x v="5"/>
    <x v="106"/>
    <x v="4"/>
    <x v="84"/>
    <x v="4"/>
    <x v="106"/>
    <x v="0"/>
    <x v="0"/>
  </r>
  <r>
    <x v="107"/>
    <x v="107"/>
    <x v="7"/>
    <x v="107"/>
    <x v="2"/>
    <x v="72"/>
    <x v="4"/>
    <x v="107"/>
    <x v="0"/>
    <x v="0"/>
  </r>
  <r>
    <x v="108"/>
    <x v="108"/>
    <x v="0"/>
    <x v="108"/>
    <x v="3"/>
    <x v="22"/>
    <x v="2"/>
    <x v="108"/>
    <x v="0"/>
    <x v="1"/>
  </r>
  <r>
    <x v="109"/>
    <x v="109"/>
    <x v="5"/>
    <x v="109"/>
    <x v="3"/>
    <x v="61"/>
    <x v="1"/>
    <x v="109"/>
    <x v="0"/>
    <x v="0"/>
  </r>
  <r>
    <x v="110"/>
    <x v="110"/>
    <x v="7"/>
    <x v="110"/>
    <x v="4"/>
    <x v="85"/>
    <x v="4"/>
    <x v="110"/>
    <x v="0"/>
    <x v="1"/>
  </r>
  <r>
    <x v="111"/>
    <x v="111"/>
    <x v="3"/>
    <x v="111"/>
    <x v="3"/>
    <x v="86"/>
    <x v="3"/>
    <x v="111"/>
    <x v="0"/>
    <x v="0"/>
  </r>
  <r>
    <x v="112"/>
    <x v="112"/>
    <x v="3"/>
    <x v="112"/>
    <x v="1"/>
    <x v="87"/>
    <x v="1"/>
    <x v="112"/>
    <x v="0"/>
    <x v="0"/>
  </r>
  <r>
    <x v="113"/>
    <x v="113"/>
    <x v="1"/>
    <x v="113"/>
    <x v="1"/>
    <x v="69"/>
    <x v="3"/>
    <x v="113"/>
    <x v="0"/>
    <x v="0"/>
  </r>
  <r>
    <x v="114"/>
    <x v="114"/>
    <x v="4"/>
    <x v="114"/>
    <x v="4"/>
    <x v="1"/>
    <x v="3"/>
    <x v="114"/>
    <x v="0"/>
    <x v="0"/>
  </r>
  <r>
    <x v="115"/>
    <x v="115"/>
    <x v="6"/>
    <x v="115"/>
    <x v="2"/>
    <x v="88"/>
    <x v="1"/>
    <x v="115"/>
    <x v="0"/>
    <x v="0"/>
  </r>
  <r>
    <x v="116"/>
    <x v="116"/>
    <x v="5"/>
    <x v="116"/>
    <x v="4"/>
    <x v="89"/>
    <x v="4"/>
    <x v="116"/>
    <x v="0"/>
    <x v="1"/>
  </r>
  <r>
    <x v="117"/>
    <x v="117"/>
    <x v="7"/>
    <x v="117"/>
    <x v="4"/>
    <x v="22"/>
    <x v="1"/>
    <x v="117"/>
    <x v="0"/>
    <x v="0"/>
  </r>
  <r>
    <x v="118"/>
    <x v="118"/>
    <x v="1"/>
    <x v="118"/>
    <x v="3"/>
    <x v="90"/>
    <x v="3"/>
    <x v="118"/>
    <x v="0"/>
    <x v="0"/>
  </r>
  <r>
    <x v="119"/>
    <x v="119"/>
    <x v="5"/>
    <x v="119"/>
    <x v="3"/>
    <x v="91"/>
    <x v="1"/>
    <x v="119"/>
    <x v="0"/>
    <x v="1"/>
  </r>
  <r>
    <x v="120"/>
    <x v="120"/>
    <x v="1"/>
    <x v="120"/>
    <x v="1"/>
    <x v="92"/>
    <x v="4"/>
    <x v="120"/>
    <x v="0"/>
    <x v="1"/>
  </r>
  <r>
    <x v="121"/>
    <x v="121"/>
    <x v="1"/>
    <x v="121"/>
    <x v="2"/>
    <x v="93"/>
    <x v="3"/>
    <x v="121"/>
    <x v="0"/>
    <x v="0"/>
  </r>
  <r>
    <x v="122"/>
    <x v="122"/>
    <x v="4"/>
    <x v="122"/>
    <x v="2"/>
    <x v="94"/>
    <x v="4"/>
    <x v="122"/>
    <x v="0"/>
    <x v="1"/>
  </r>
  <r>
    <x v="123"/>
    <x v="123"/>
    <x v="2"/>
    <x v="123"/>
    <x v="4"/>
    <x v="82"/>
    <x v="1"/>
    <x v="123"/>
    <x v="0"/>
    <x v="0"/>
  </r>
  <r>
    <x v="124"/>
    <x v="124"/>
    <x v="6"/>
    <x v="124"/>
    <x v="3"/>
    <x v="95"/>
    <x v="0"/>
    <x v="124"/>
    <x v="0"/>
    <x v="0"/>
  </r>
  <r>
    <x v="125"/>
    <x v="125"/>
    <x v="1"/>
    <x v="125"/>
    <x v="3"/>
    <x v="48"/>
    <x v="1"/>
    <x v="125"/>
    <x v="0"/>
    <x v="0"/>
  </r>
  <r>
    <x v="126"/>
    <x v="126"/>
    <x v="3"/>
    <x v="126"/>
    <x v="1"/>
    <x v="96"/>
    <x v="3"/>
    <x v="126"/>
    <x v="0"/>
    <x v="0"/>
  </r>
  <r>
    <x v="127"/>
    <x v="127"/>
    <x v="4"/>
    <x v="127"/>
    <x v="2"/>
    <x v="7"/>
    <x v="3"/>
    <x v="127"/>
    <x v="0"/>
    <x v="1"/>
  </r>
  <r>
    <x v="128"/>
    <x v="128"/>
    <x v="5"/>
    <x v="128"/>
    <x v="2"/>
    <x v="85"/>
    <x v="2"/>
    <x v="128"/>
    <x v="0"/>
    <x v="0"/>
  </r>
  <r>
    <x v="129"/>
    <x v="129"/>
    <x v="7"/>
    <x v="129"/>
    <x v="2"/>
    <x v="13"/>
    <x v="6"/>
    <x v="129"/>
    <x v="0"/>
    <x v="0"/>
  </r>
  <r>
    <x v="130"/>
    <x v="130"/>
    <x v="7"/>
    <x v="130"/>
    <x v="2"/>
    <x v="82"/>
    <x v="2"/>
    <x v="130"/>
    <x v="0"/>
    <x v="1"/>
  </r>
  <r>
    <x v="131"/>
    <x v="131"/>
    <x v="4"/>
    <x v="131"/>
    <x v="2"/>
    <x v="97"/>
    <x v="0"/>
    <x v="131"/>
    <x v="0"/>
    <x v="0"/>
  </r>
  <r>
    <x v="132"/>
    <x v="132"/>
    <x v="7"/>
    <x v="132"/>
    <x v="3"/>
    <x v="98"/>
    <x v="5"/>
    <x v="132"/>
    <x v="0"/>
    <x v="1"/>
  </r>
  <r>
    <x v="133"/>
    <x v="133"/>
    <x v="2"/>
    <x v="133"/>
    <x v="1"/>
    <x v="99"/>
    <x v="0"/>
    <x v="133"/>
    <x v="0"/>
    <x v="1"/>
  </r>
  <r>
    <x v="134"/>
    <x v="134"/>
    <x v="3"/>
    <x v="134"/>
    <x v="3"/>
    <x v="100"/>
    <x v="1"/>
    <x v="134"/>
    <x v="0"/>
    <x v="1"/>
  </r>
  <r>
    <x v="135"/>
    <x v="135"/>
    <x v="2"/>
    <x v="135"/>
    <x v="2"/>
    <x v="96"/>
    <x v="4"/>
    <x v="135"/>
    <x v="0"/>
    <x v="1"/>
  </r>
  <r>
    <x v="136"/>
    <x v="136"/>
    <x v="4"/>
    <x v="136"/>
    <x v="1"/>
    <x v="57"/>
    <x v="5"/>
    <x v="136"/>
    <x v="0"/>
    <x v="1"/>
  </r>
  <r>
    <x v="137"/>
    <x v="137"/>
    <x v="3"/>
    <x v="137"/>
    <x v="3"/>
    <x v="74"/>
    <x v="5"/>
    <x v="137"/>
    <x v="0"/>
    <x v="1"/>
  </r>
  <r>
    <x v="138"/>
    <x v="138"/>
    <x v="7"/>
    <x v="138"/>
    <x v="0"/>
    <x v="13"/>
    <x v="0"/>
    <x v="138"/>
    <x v="0"/>
    <x v="0"/>
  </r>
  <r>
    <x v="139"/>
    <x v="139"/>
    <x v="6"/>
    <x v="139"/>
    <x v="0"/>
    <x v="33"/>
    <x v="1"/>
    <x v="139"/>
    <x v="0"/>
    <x v="0"/>
  </r>
  <r>
    <x v="140"/>
    <x v="140"/>
    <x v="7"/>
    <x v="140"/>
    <x v="0"/>
    <x v="73"/>
    <x v="5"/>
    <x v="140"/>
    <x v="0"/>
    <x v="1"/>
  </r>
  <r>
    <x v="141"/>
    <x v="141"/>
    <x v="1"/>
    <x v="141"/>
    <x v="2"/>
    <x v="72"/>
    <x v="6"/>
    <x v="141"/>
    <x v="0"/>
    <x v="0"/>
  </r>
  <r>
    <x v="142"/>
    <x v="142"/>
    <x v="6"/>
    <x v="142"/>
    <x v="1"/>
    <x v="101"/>
    <x v="4"/>
    <x v="142"/>
    <x v="0"/>
    <x v="0"/>
  </r>
  <r>
    <x v="143"/>
    <x v="143"/>
    <x v="0"/>
    <x v="143"/>
    <x v="1"/>
    <x v="68"/>
    <x v="4"/>
    <x v="143"/>
    <x v="0"/>
    <x v="0"/>
  </r>
  <r>
    <x v="144"/>
    <x v="144"/>
    <x v="2"/>
    <x v="144"/>
    <x v="1"/>
    <x v="69"/>
    <x v="5"/>
    <x v="144"/>
    <x v="0"/>
    <x v="1"/>
  </r>
  <r>
    <x v="145"/>
    <x v="145"/>
    <x v="7"/>
    <x v="145"/>
    <x v="4"/>
    <x v="102"/>
    <x v="4"/>
    <x v="145"/>
    <x v="0"/>
    <x v="0"/>
  </r>
  <r>
    <x v="146"/>
    <x v="146"/>
    <x v="4"/>
    <x v="146"/>
    <x v="3"/>
    <x v="103"/>
    <x v="6"/>
    <x v="146"/>
    <x v="0"/>
    <x v="0"/>
  </r>
  <r>
    <x v="147"/>
    <x v="147"/>
    <x v="3"/>
    <x v="147"/>
    <x v="1"/>
    <x v="104"/>
    <x v="0"/>
    <x v="147"/>
    <x v="0"/>
    <x v="0"/>
  </r>
  <r>
    <x v="148"/>
    <x v="148"/>
    <x v="7"/>
    <x v="148"/>
    <x v="2"/>
    <x v="45"/>
    <x v="2"/>
    <x v="148"/>
    <x v="0"/>
    <x v="0"/>
  </r>
  <r>
    <x v="149"/>
    <x v="149"/>
    <x v="0"/>
    <x v="149"/>
    <x v="4"/>
    <x v="105"/>
    <x v="2"/>
    <x v="149"/>
    <x v="0"/>
    <x v="1"/>
  </r>
  <r>
    <x v="150"/>
    <x v="150"/>
    <x v="2"/>
    <x v="150"/>
    <x v="2"/>
    <x v="106"/>
    <x v="3"/>
    <x v="150"/>
    <x v="0"/>
    <x v="0"/>
  </r>
  <r>
    <x v="151"/>
    <x v="151"/>
    <x v="4"/>
    <x v="151"/>
    <x v="3"/>
    <x v="85"/>
    <x v="6"/>
    <x v="151"/>
    <x v="0"/>
    <x v="0"/>
  </r>
  <r>
    <x v="152"/>
    <x v="152"/>
    <x v="0"/>
    <x v="152"/>
    <x v="0"/>
    <x v="107"/>
    <x v="2"/>
    <x v="152"/>
    <x v="0"/>
    <x v="1"/>
  </r>
  <r>
    <x v="153"/>
    <x v="153"/>
    <x v="7"/>
    <x v="153"/>
    <x v="2"/>
    <x v="40"/>
    <x v="5"/>
    <x v="153"/>
    <x v="0"/>
    <x v="0"/>
  </r>
  <r>
    <x v="154"/>
    <x v="154"/>
    <x v="0"/>
    <x v="154"/>
    <x v="2"/>
    <x v="108"/>
    <x v="3"/>
    <x v="154"/>
    <x v="0"/>
    <x v="1"/>
  </r>
  <r>
    <x v="155"/>
    <x v="155"/>
    <x v="4"/>
    <x v="155"/>
    <x v="3"/>
    <x v="109"/>
    <x v="4"/>
    <x v="155"/>
    <x v="0"/>
    <x v="0"/>
  </r>
  <r>
    <x v="156"/>
    <x v="156"/>
    <x v="5"/>
    <x v="156"/>
    <x v="1"/>
    <x v="110"/>
    <x v="1"/>
    <x v="156"/>
    <x v="0"/>
    <x v="1"/>
  </r>
  <r>
    <x v="157"/>
    <x v="157"/>
    <x v="0"/>
    <x v="157"/>
    <x v="1"/>
    <x v="49"/>
    <x v="2"/>
    <x v="157"/>
    <x v="0"/>
    <x v="1"/>
  </r>
  <r>
    <x v="158"/>
    <x v="158"/>
    <x v="5"/>
    <x v="158"/>
    <x v="3"/>
    <x v="80"/>
    <x v="3"/>
    <x v="158"/>
    <x v="0"/>
    <x v="1"/>
  </r>
  <r>
    <x v="159"/>
    <x v="159"/>
    <x v="5"/>
    <x v="159"/>
    <x v="2"/>
    <x v="111"/>
    <x v="2"/>
    <x v="159"/>
    <x v="0"/>
    <x v="0"/>
  </r>
  <r>
    <x v="160"/>
    <x v="160"/>
    <x v="5"/>
    <x v="160"/>
    <x v="4"/>
    <x v="112"/>
    <x v="0"/>
    <x v="160"/>
    <x v="0"/>
    <x v="0"/>
  </r>
  <r>
    <x v="161"/>
    <x v="161"/>
    <x v="3"/>
    <x v="161"/>
    <x v="3"/>
    <x v="113"/>
    <x v="3"/>
    <x v="161"/>
    <x v="0"/>
    <x v="0"/>
  </r>
  <r>
    <x v="162"/>
    <x v="162"/>
    <x v="7"/>
    <x v="162"/>
    <x v="1"/>
    <x v="27"/>
    <x v="2"/>
    <x v="162"/>
    <x v="1"/>
    <x v="0"/>
  </r>
  <r>
    <x v="163"/>
    <x v="163"/>
    <x v="1"/>
    <x v="163"/>
    <x v="2"/>
    <x v="114"/>
    <x v="6"/>
    <x v="163"/>
    <x v="0"/>
    <x v="0"/>
  </r>
  <r>
    <x v="164"/>
    <x v="164"/>
    <x v="2"/>
    <x v="164"/>
    <x v="3"/>
    <x v="115"/>
    <x v="0"/>
    <x v="164"/>
    <x v="0"/>
    <x v="0"/>
  </r>
  <r>
    <x v="165"/>
    <x v="165"/>
    <x v="2"/>
    <x v="165"/>
    <x v="1"/>
    <x v="116"/>
    <x v="4"/>
    <x v="165"/>
    <x v="0"/>
    <x v="1"/>
  </r>
  <r>
    <x v="166"/>
    <x v="166"/>
    <x v="0"/>
    <x v="166"/>
    <x v="2"/>
    <x v="117"/>
    <x v="1"/>
    <x v="166"/>
    <x v="0"/>
    <x v="0"/>
  </r>
  <r>
    <x v="167"/>
    <x v="167"/>
    <x v="3"/>
    <x v="167"/>
    <x v="3"/>
    <x v="7"/>
    <x v="6"/>
    <x v="167"/>
    <x v="0"/>
    <x v="1"/>
  </r>
  <r>
    <x v="168"/>
    <x v="168"/>
    <x v="6"/>
    <x v="168"/>
    <x v="1"/>
    <x v="118"/>
    <x v="6"/>
    <x v="168"/>
    <x v="0"/>
    <x v="1"/>
  </r>
  <r>
    <x v="169"/>
    <x v="169"/>
    <x v="1"/>
    <x v="169"/>
    <x v="4"/>
    <x v="50"/>
    <x v="2"/>
    <x v="169"/>
    <x v="0"/>
    <x v="1"/>
  </r>
  <r>
    <x v="170"/>
    <x v="170"/>
    <x v="6"/>
    <x v="170"/>
    <x v="4"/>
    <x v="101"/>
    <x v="1"/>
    <x v="170"/>
    <x v="0"/>
    <x v="1"/>
  </r>
  <r>
    <x v="171"/>
    <x v="171"/>
    <x v="0"/>
    <x v="171"/>
    <x v="3"/>
    <x v="109"/>
    <x v="0"/>
    <x v="171"/>
    <x v="0"/>
    <x v="1"/>
  </r>
  <r>
    <x v="172"/>
    <x v="172"/>
    <x v="6"/>
    <x v="172"/>
    <x v="4"/>
    <x v="27"/>
    <x v="2"/>
    <x v="172"/>
    <x v="0"/>
    <x v="0"/>
  </r>
  <r>
    <x v="173"/>
    <x v="173"/>
    <x v="6"/>
    <x v="173"/>
    <x v="2"/>
    <x v="119"/>
    <x v="4"/>
    <x v="173"/>
    <x v="0"/>
    <x v="1"/>
  </r>
  <r>
    <x v="174"/>
    <x v="174"/>
    <x v="6"/>
    <x v="174"/>
    <x v="2"/>
    <x v="120"/>
    <x v="1"/>
    <x v="174"/>
    <x v="0"/>
    <x v="0"/>
  </r>
  <r>
    <x v="175"/>
    <x v="175"/>
    <x v="2"/>
    <x v="175"/>
    <x v="2"/>
    <x v="121"/>
    <x v="3"/>
    <x v="175"/>
    <x v="0"/>
    <x v="1"/>
  </r>
  <r>
    <x v="176"/>
    <x v="176"/>
    <x v="0"/>
    <x v="176"/>
    <x v="3"/>
    <x v="122"/>
    <x v="1"/>
    <x v="176"/>
    <x v="0"/>
    <x v="0"/>
  </r>
  <r>
    <x v="177"/>
    <x v="177"/>
    <x v="2"/>
    <x v="177"/>
    <x v="3"/>
    <x v="123"/>
    <x v="6"/>
    <x v="177"/>
    <x v="0"/>
    <x v="0"/>
  </r>
  <r>
    <x v="178"/>
    <x v="178"/>
    <x v="3"/>
    <x v="178"/>
    <x v="0"/>
    <x v="124"/>
    <x v="2"/>
    <x v="178"/>
    <x v="0"/>
    <x v="0"/>
  </r>
  <r>
    <x v="179"/>
    <x v="179"/>
    <x v="4"/>
    <x v="179"/>
    <x v="4"/>
    <x v="125"/>
    <x v="6"/>
    <x v="179"/>
    <x v="0"/>
    <x v="1"/>
  </r>
  <r>
    <x v="180"/>
    <x v="180"/>
    <x v="2"/>
    <x v="180"/>
    <x v="2"/>
    <x v="98"/>
    <x v="0"/>
    <x v="180"/>
    <x v="0"/>
    <x v="0"/>
  </r>
  <r>
    <x v="181"/>
    <x v="181"/>
    <x v="7"/>
    <x v="181"/>
    <x v="0"/>
    <x v="8"/>
    <x v="0"/>
    <x v="181"/>
    <x v="0"/>
    <x v="0"/>
  </r>
  <r>
    <x v="182"/>
    <x v="182"/>
    <x v="3"/>
    <x v="182"/>
    <x v="1"/>
    <x v="8"/>
    <x v="2"/>
    <x v="182"/>
    <x v="0"/>
    <x v="1"/>
  </r>
  <r>
    <x v="183"/>
    <x v="183"/>
    <x v="3"/>
    <x v="183"/>
    <x v="0"/>
    <x v="83"/>
    <x v="2"/>
    <x v="183"/>
    <x v="0"/>
    <x v="1"/>
  </r>
  <r>
    <x v="184"/>
    <x v="184"/>
    <x v="3"/>
    <x v="184"/>
    <x v="3"/>
    <x v="99"/>
    <x v="4"/>
    <x v="184"/>
    <x v="0"/>
    <x v="0"/>
  </r>
  <r>
    <x v="185"/>
    <x v="185"/>
    <x v="1"/>
    <x v="185"/>
    <x v="2"/>
    <x v="126"/>
    <x v="0"/>
    <x v="185"/>
    <x v="0"/>
    <x v="1"/>
  </r>
  <r>
    <x v="186"/>
    <x v="186"/>
    <x v="3"/>
    <x v="186"/>
    <x v="2"/>
    <x v="10"/>
    <x v="0"/>
    <x v="186"/>
    <x v="0"/>
    <x v="1"/>
  </r>
  <r>
    <x v="187"/>
    <x v="187"/>
    <x v="7"/>
    <x v="187"/>
    <x v="0"/>
    <x v="85"/>
    <x v="4"/>
    <x v="187"/>
    <x v="0"/>
    <x v="0"/>
  </r>
  <r>
    <x v="188"/>
    <x v="188"/>
    <x v="7"/>
    <x v="188"/>
    <x v="1"/>
    <x v="69"/>
    <x v="0"/>
    <x v="188"/>
    <x v="0"/>
    <x v="0"/>
  </r>
  <r>
    <x v="189"/>
    <x v="189"/>
    <x v="2"/>
    <x v="189"/>
    <x v="4"/>
    <x v="127"/>
    <x v="2"/>
    <x v="189"/>
    <x v="0"/>
    <x v="0"/>
  </r>
  <r>
    <x v="190"/>
    <x v="190"/>
    <x v="7"/>
    <x v="190"/>
    <x v="0"/>
    <x v="30"/>
    <x v="4"/>
    <x v="190"/>
    <x v="0"/>
    <x v="0"/>
  </r>
  <r>
    <x v="191"/>
    <x v="191"/>
    <x v="1"/>
    <x v="191"/>
    <x v="2"/>
    <x v="128"/>
    <x v="3"/>
    <x v="191"/>
    <x v="0"/>
    <x v="1"/>
  </r>
  <r>
    <x v="192"/>
    <x v="192"/>
    <x v="6"/>
    <x v="192"/>
    <x v="3"/>
    <x v="129"/>
    <x v="0"/>
    <x v="192"/>
    <x v="0"/>
    <x v="0"/>
  </r>
  <r>
    <x v="193"/>
    <x v="193"/>
    <x v="4"/>
    <x v="193"/>
    <x v="4"/>
    <x v="130"/>
    <x v="2"/>
    <x v="193"/>
    <x v="0"/>
    <x v="1"/>
  </r>
  <r>
    <x v="194"/>
    <x v="194"/>
    <x v="1"/>
    <x v="194"/>
    <x v="1"/>
    <x v="131"/>
    <x v="0"/>
    <x v="194"/>
    <x v="0"/>
    <x v="0"/>
  </r>
  <r>
    <x v="195"/>
    <x v="195"/>
    <x v="2"/>
    <x v="195"/>
    <x v="2"/>
    <x v="106"/>
    <x v="3"/>
    <x v="195"/>
    <x v="0"/>
    <x v="1"/>
  </r>
  <r>
    <x v="196"/>
    <x v="196"/>
    <x v="0"/>
    <x v="196"/>
    <x v="1"/>
    <x v="116"/>
    <x v="4"/>
    <x v="196"/>
    <x v="0"/>
    <x v="0"/>
  </r>
  <r>
    <x v="197"/>
    <x v="197"/>
    <x v="7"/>
    <x v="197"/>
    <x v="0"/>
    <x v="61"/>
    <x v="3"/>
    <x v="197"/>
    <x v="0"/>
    <x v="1"/>
  </r>
  <r>
    <x v="198"/>
    <x v="198"/>
    <x v="0"/>
    <x v="198"/>
    <x v="3"/>
    <x v="123"/>
    <x v="3"/>
    <x v="198"/>
    <x v="0"/>
    <x v="1"/>
  </r>
  <r>
    <x v="199"/>
    <x v="199"/>
    <x v="5"/>
    <x v="199"/>
    <x v="0"/>
    <x v="132"/>
    <x v="6"/>
    <x v="199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Graduation Distribu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9:D17" firstHeaderRow="1" firstDataRow="1" firstDataCol="1"/>
  <pivotFields count="10">
    <pivotField dataField="1" compact="0" showAll="0">
      <items count="201">
        <item x="39"/>
        <item x="151"/>
        <item x="25"/>
        <item x="84"/>
        <item x="110"/>
        <item x="176"/>
        <item x="74"/>
        <item x="2"/>
        <item x="141"/>
        <item x="133"/>
        <item x="122"/>
        <item x="109"/>
        <item x="123"/>
        <item x="106"/>
        <item x="72"/>
        <item x="86"/>
        <item x="105"/>
        <item x="22"/>
        <item x="145"/>
        <item x="168"/>
        <item x="100"/>
        <item x="160"/>
        <item x="60"/>
        <item x="191"/>
        <item x="159"/>
        <item x="21"/>
        <item x="155"/>
        <item x="65"/>
        <item x="108"/>
        <item x="85"/>
        <item x="186"/>
        <item x="117"/>
        <item x="179"/>
        <item x="174"/>
        <item x="190"/>
        <item x="20"/>
        <item x="58"/>
        <item x="165"/>
        <item x="53"/>
        <item x="10"/>
        <item x="17"/>
        <item x="83"/>
        <item x="195"/>
        <item x="0"/>
        <item x="192"/>
        <item x="57"/>
        <item x="196"/>
        <item x="36"/>
        <item x="118"/>
        <item x="15"/>
        <item x="147"/>
        <item x="47"/>
        <item x="130"/>
        <item x="164"/>
        <item x="194"/>
        <item x="30"/>
        <item x="146"/>
        <item x="169"/>
        <item x="129"/>
        <item x="125"/>
        <item x="75"/>
        <item x="42"/>
        <item x="181"/>
        <item x="97"/>
        <item x="107"/>
        <item x="87"/>
        <item x="16"/>
        <item x="198"/>
        <item x="89"/>
        <item x="59"/>
        <item x="76"/>
        <item x="121"/>
        <item x="50"/>
        <item x="55"/>
        <item x="137"/>
        <item x="91"/>
        <item x="27"/>
        <item x="80"/>
        <item x="14"/>
        <item x="23"/>
        <item x="119"/>
        <item x="101"/>
        <item x="51"/>
        <item x="158"/>
        <item x="6"/>
        <item x="184"/>
        <item x="34"/>
        <item x="46"/>
        <item x="172"/>
        <item x="38"/>
        <item x="61"/>
        <item x="5"/>
        <item x="78"/>
        <item x="94"/>
        <item x="18"/>
        <item x="154"/>
        <item x="62"/>
        <item x="193"/>
        <item x="52"/>
        <item x="96"/>
        <item x="79"/>
        <item x="32"/>
        <item x="28"/>
        <item x="40"/>
        <item x="104"/>
        <item x="114"/>
        <item x="67"/>
        <item x="126"/>
        <item x="7"/>
        <item x="44"/>
        <item x="95"/>
        <item x="69"/>
        <item x="199"/>
        <item x="162"/>
        <item x="153"/>
        <item x="64"/>
        <item x="37"/>
        <item x="112"/>
        <item x="135"/>
        <item x="98"/>
        <item x="140"/>
        <item x="177"/>
        <item x="9"/>
        <item x="24"/>
        <item x="3"/>
        <item x="88"/>
        <item x="77"/>
        <item x="175"/>
        <item x="99"/>
        <item x="120"/>
        <item x="43"/>
        <item x="70"/>
        <item x="127"/>
        <item x="180"/>
        <item x="189"/>
        <item x="142"/>
        <item x="56"/>
        <item x="35"/>
        <item x="136"/>
        <item x="102"/>
        <item x="152"/>
        <item x="26"/>
        <item x="111"/>
        <item x="131"/>
        <item x="187"/>
        <item x="148"/>
        <item x="156"/>
        <item x="185"/>
        <item x="31"/>
        <item x="11"/>
        <item x="128"/>
        <item x="188"/>
        <item x="19"/>
        <item x="33"/>
        <item x="103"/>
        <item x="63"/>
        <item x="73"/>
        <item x="183"/>
        <item x="134"/>
        <item x="170"/>
        <item x="116"/>
        <item x="41"/>
        <item x="115"/>
        <item x="54"/>
        <item x="132"/>
        <item x="29"/>
        <item x="82"/>
        <item x="157"/>
        <item x="90"/>
        <item x="149"/>
        <item x="8"/>
        <item x="1"/>
        <item x="163"/>
        <item x="93"/>
        <item x="4"/>
        <item x="113"/>
        <item x="161"/>
        <item x="173"/>
        <item x="13"/>
        <item x="197"/>
        <item x="166"/>
        <item x="144"/>
        <item x="138"/>
        <item x="49"/>
        <item x="92"/>
        <item x="48"/>
        <item x="178"/>
        <item x="150"/>
        <item x="66"/>
        <item x="12"/>
        <item x="45"/>
        <item x="167"/>
        <item x="182"/>
        <item x="124"/>
        <item x="81"/>
        <item x="71"/>
        <item x="171"/>
        <item x="68"/>
        <item x="139"/>
        <item x="143"/>
        <item t="default"/>
      </items>
    </pivotField>
    <pivotField compact="0" showAll="0"/>
    <pivotField compact="0" numFmtId="1" showAll="0"/>
    <pivotField compact="0" showAll="0"/>
    <pivotField compact="0" showAll="0"/>
    <pivotField compact="0" numFmtId="2" showAll="0"/>
    <pivotField axis="axisRow" compact="0" multipleItemSelectionAllowed="1" numFmtId="1" showAll="0">
      <items count="8">
        <item x="5"/>
        <item x="3"/>
        <item x="0"/>
        <item x="1"/>
        <item x="6"/>
        <item x="2"/>
        <item x="4"/>
        <item t="default"/>
      </items>
    </pivotField>
    <pivotField compact="0" numFmtId="2" showAll="0"/>
    <pivotField compact="0" showAll="0"/>
    <pivotField compact="0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tudent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Department Analysis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27:F33" firstHeaderRow="0" firstDataRow="1" firstDataCol="1"/>
  <pivotFields count="10">
    <pivotField dataField="1" compact="0" showAll="0">
      <items count="201">
        <item x="39"/>
        <item x="151"/>
        <item x="25"/>
        <item x="84"/>
        <item x="110"/>
        <item x="176"/>
        <item x="74"/>
        <item x="2"/>
        <item x="141"/>
        <item x="133"/>
        <item x="122"/>
        <item x="109"/>
        <item x="123"/>
        <item x="106"/>
        <item x="72"/>
        <item x="86"/>
        <item x="105"/>
        <item x="22"/>
        <item x="145"/>
        <item x="168"/>
        <item x="100"/>
        <item x="160"/>
        <item x="60"/>
        <item x="191"/>
        <item x="159"/>
        <item x="21"/>
        <item x="155"/>
        <item x="65"/>
        <item x="108"/>
        <item x="85"/>
        <item x="186"/>
        <item x="117"/>
        <item x="179"/>
        <item x="174"/>
        <item x="190"/>
        <item x="20"/>
        <item x="58"/>
        <item x="165"/>
        <item x="53"/>
        <item x="10"/>
        <item x="17"/>
        <item x="83"/>
        <item x="195"/>
        <item x="0"/>
        <item x="192"/>
        <item x="57"/>
        <item x="196"/>
        <item x="36"/>
        <item x="118"/>
        <item x="15"/>
        <item x="147"/>
        <item x="47"/>
        <item x="130"/>
        <item x="164"/>
        <item x="194"/>
        <item x="30"/>
        <item x="146"/>
        <item x="169"/>
        <item x="129"/>
        <item x="125"/>
        <item x="75"/>
        <item x="42"/>
        <item x="181"/>
        <item x="97"/>
        <item x="107"/>
        <item x="87"/>
        <item x="16"/>
        <item x="198"/>
        <item x="89"/>
        <item x="59"/>
        <item x="76"/>
        <item x="121"/>
        <item x="50"/>
        <item x="55"/>
        <item x="137"/>
        <item x="91"/>
        <item x="27"/>
        <item x="80"/>
        <item x="14"/>
        <item x="23"/>
        <item x="119"/>
        <item x="101"/>
        <item x="51"/>
        <item x="158"/>
        <item x="6"/>
        <item x="184"/>
        <item x="34"/>
        <item x="46"/>
        <item x="172"/>
        <item x="38"/>
        <item x="61"/>
        <item x="5"/>
        <item x="78"/>
        <item x="94"/>
        <item x="18"/>
        <item x="154"/>
        <item x="62"/>
        <item x="193"/>
        <item x="52"/>
        <item x="96"/>
        <item x="79"/>
        <item x="32"/>
        <item x="28"/>
        <item x="40"/>
        <item x="104"/>
        <item x="114"/>
        <item x="67"/>
        <item x="126"/>
        <item x="7"/>
        <item x="44"/>
        <item x="95"/>
        <item x="69"/>
        <item x="199"/>
        <item x="162"/>
        <item x="153"/>
        <item x="64"/>
        <item x="37"/>
        <item x="112"/>
        <item x="135"/>
        <item x="98"/>
        <item x="140"/>
        <item x="177"/>
        <item x="9"/>
        <item x="24"/>
        <item x="3"/>
        <item x="88"/>
        <item x="77"/>
        <item x="175"/>
        <item x="99"/>
        <item x="120"/>
        <item x="43"/>
        <item x="70"/>
        <item x="127"/>
        <item x="180"/>
        <item x="189"/>
        <item x="142"/>
        <item x="56"/>
        <item x="35"/>
        <item x="136"/>
        <item x="102"/>
        <item x="152"/>
        <item x="26"/>
        <item x="111"/>
        <item x="131"/>
        <item x="187"/>
        <item x="148"/>
        <item x="156"/>
        <item x="185"/>
        <item x="31"/>
        <item x="11"/>
        <item x="128"/>
        <item x="188"/>
        <item x="19"/>
        <item x="33"/>
        <item x="103"/>
        <item x="63"/>
        <item x="73"/>
        <item x="183"/>
        <item x="134"/>
        <item x="170"/>
        <item x="116"/>
        <item x="41"/>
        <item x="115"/>
        <item x="54"/>
        <item x="132"/>
        <item x="29"/>
        <item x="82"/>
        <item x="157"/>
        <item x="90"/>
        <item x="149"/>
        <item x="8"/>
        <item x="1"/>
        <item x="163"/>
        <item x="93"/>
        <item x="4"/>
        <item x="113"/>
        <item x="161"/>
        <item x="173"/>
        <item x="13"/>
        <item x="197"/>
        <item x="166"/>
        <item x="144"/>
        <item x="138"/>
        <item x="49"/>
        <item x="92"/>
        <item x="48"/>
        <item x="178"/>
        <item x="150"/>
        <item x="66"/>
        <item x="12"/>
        <item x="45"/>
        <item x="167"/>
        <item x="182"/>
        <item x="124"/>
        <item x="81"/>
        <item x="71"/>
        <item x="171"/>
        <item x="68"/>
        <item x="139"/>
        <item x="143"/>
        <item t="default"/>
      </items>
    </pivotField>
    <pivotField compact="0" showAll="0">
      <items count="201">
        <item x="10"/>
        <item x="11"/>
        <item x="15"/>
        <item x="34"/>
        <item x="123"/>
        <item x="182"/>
        <item x="39"/>
        <item x="73"/>
        <item x="146"/>
        <item x="149"/>
        <item x="145"/>
        <item x="26"/>
        <item x="53"/>
        <item x="1"/>
        <item x="125"/>
        <item x="138"/>
        <item x="160"/>
        <item x="59"/>
        <item x="104"/>
        <item x="50"/>
        <item x="64"/>
        <item x="161"/>
        <item x="65"/>
        <item x="155"/>
        <item x="33"/>
        <item x="105"/>
        <item x="175"/>
        <item x="187"/>
        <item x="97"/>
        <item x="29"/>
        <item x="79"/>
        <item x="100"/>
        <item x="69"/>
        <item x="195"/>
        <item x="163"/>
        <item x="88"/>
        <item x="162"/>
        <item x="176"/>
        <item x="18"/>
        <item x="143"/>
        <item x="12"/>
        <item x="170"/>
        <item x="17"/>
        <item x="49"/>
        <item x="76"/>
        <item x="158"/>
        <item x="68"/>
        <item x="186"/>
        <item x="42"/>
        <item x="19"/>
        <item x="62"/>
        <item x="183"/>
        <item x="0"/>
        <item x="16"/>
        <item x="23"/>
        <item x="80"/>
        <item x="92"/>
        <item x="166"/>
        <item x="188"/>
        <item x="139"/>
        <item x="127"/>
        <item x="128"/>
        <item x="9"/>
        <item x="60"/>
        <item x="22"/>
        <item x="179"/>
        <item x="41"/>
        <item x="185"/>
        <item x="58"/>
        <item x="121"/>
        <item x="56"/>
        <item x="129"/>
        <item x="48"/>
        <item x="109"/>
        <item x="180"/>
        <item x="191"/>
        <item x="181"/>
        <item x="40"/>
        <item x="6"/>
        <item x="51"/>
        <item x="38"/>
        <item x="111"/>
        <item x="114"/>
        <item x="116"/>
        <item x="67"/>
        <item x="189"/>
        <item x="107"/>
        <item x="150"/>
        <item x="96"/>
        <item x="82"/>
        <item x="63"/>
        <item x="194"/>
        <item x="110"/>
        <item x="192"/>
        <item x="2"/>
        <item x="113"/>
        <item x="144"/>
        <item x="196"/>
        <item x="78"/>
        <item x="54"/>
        <item x="4"/>
        <item x="131"/>
        <item x="3"/>
        <item x="142"/>
        <item x="119"/>
        <item x="169"/>
        <item x="14"/>
        <item x="106"/>
        <item x="173"/>
        <item x="25"/>
        <item x="171"/>
        <item x="55"/>
        <item x="86"/>
        <item x="172"/>
        <item x="98"/>
        <item x="44"/>
        <item x="108"/>
        <item x="117"/>
        <item x="178"/>
        <item x="153"/>
        <item x="21"/>
        <item x="118"/>
        <item x="47"/>
        <item x="77"/>
        <item x="193"/>
        <item x="124"/>
        <item x="8"/>
        <item x="134"/>
        <item x="75"/>
        <item x="167"/>
        <item x="140"/>
        <item x="199"/>
        <item x="112"/>
        <item x="157"/>
        <item x="52"/>
        <item x="91"/>
        <item x="115"/>
        <item x="122"/>
        <item x="66"/>
        <item x="133"/>
        <item x="45"/>
        <item x="70"/>
        <item x="120"/>
        <item x="152"/>
        <item x="103"/>
        <item x="95"/>
        <item x="24"/>
        <item x="87"/>
        <item x="72"/>
        <item x="99"/>
        <item x="132"/>
        <item x="135"/>
        <item x="57"/>
        <item x="102"/>
        <item x="184"/>
        <item x="31"/>
        <item x="43"/>
        <item x="136"/>
        <item x="156"/>
        <item x="7"/>
        <item x="137"/>
        <item x="27"/>
        <item x="84"/>
        <item x="147"/>
        <item x="85"/>
        <item x="148"/>
        <item x="30"/>
        <item x="165"/>
        <item x="94"/>
        <item x="36"/>
        <item x="89"/>
        <item x="90"/>
        <item x="164"/>
        <item x="81"/>
        <item x="74"/>
        <item x="154"/>
        <item x="126"/>
        <item x="198"/>
        <item x="37"/>
        <item x="20"/>
        <item x="83"/>
        <item x="13"/>
        <item x="46"/>
        <item x="28"/>
        <item x="190"/>
        <item x="197"/>
        <item x="168"/>
        <item x="93"/>
        <item x="5"/>
        <item x="174"/>
        <item x="141"/>
        <item x="177"/>
        <item x="130"/>
        <item x="35"/>
        <item x="32"/>
        <item x="159"/>
        <item x="101"/>
        <item x="61"/>
        <item x="71"/>
        <item x="151"/>
        <item t="default"/>
      </items>
    </pivotField>
    <pivotField compact="0" numFmtId="1" showAll="0">
      <items count="9">
        <item x="4"/>
        <item x="0"/>
        <item x="5"/>
        <item x="7"/>
        <item x="2"/>
        <item x="1"/>
        <item x="3"/>
        <item x="6"/>
        <item t="default"/>
      </items>
    </pivotField>
    <pivotField compact="0" showAll="0">
      <items count="201">
        <item x="127"/>
        <item x="51"/>
        <item x="187"/>
        <item x="135"/>
        <item x="36"/>
        <item x="185"/>
        <item x="91"/>
        <item x="43"/>
        <item x="23"/>
        <item x="138"/>
        <item x="191"/>
        <item x="54"/>
        <item x="55"/>
        <item x="148"/>
        <item x="92"/>
        <item x="132"/>
        <item x="30"/>
        <item x="170"/>
        <item x="112"/>
        <item x="193"/>
        <item x="177"/>
        <item x="100"/>
        <item x="33"/>
        <item x="162"/>
        <item x="128"/>
        <item x="142"/>
        <item x="140"/>
        <item x="10"/>
        <item x="57"/>
        <item x="186"/>
        <item x="14"/>
        <item x="110"/>
        <item x="29"/>
        <item x="101"/>
        <item x="62"/>
        <item x="64"/>
        <item x="182"/>
        <item x="141"/>
        <item x="183"/>
        <item x="90"/>
        <item x="154"/>
        <item x="31"/>
        <item x="40"/>
        <item x="61"/>
        <item x="11"/>
        <item x="104"/>
        <item x="169"/>
        <item x="19"/>
        <item x="116"/>
        <item x="166"/>
        <item x="6"/>
        <item x="24"/>
        <item x="194"/>
        <item x="34"/>
        <item x="46"/>
        <item x="190"/>
        <item x="122"/>
        <item x="76"/>
        <item x="195"/>
        <item x="126"/>
        <item x="3"/>
        <item x="9"/>
        <item x="176"/>
        <item x="103"/>
        <item x="181"/>
        <item x="163"/>
        <item x="146"/>
        <item x="4"/>
        <item x="28"/>
        <item x="22"/>
        <item x="13"/>
        <item x="2"/>
        <item x="137"/>
        <item x="8"/>
        <item x="84"/>
        <item x="35"/>
        <item x="12"/>
        <item x="175"/>
        <item x="160"/>
        <item x="52"/>
        <item x="42"/>
        <item x="41"/>
        <item x="161"/>
        <item x="50"/>
        <item x="192"/>
        <item x="139"/>
        <item x="78"/>
        <item x="89"/>
        <item x="65"/>
        <item x="124"/>
        <item x="39"/>
        <item x="88"/>
        <item x="155"/>
        <item x="121"/>
        <item x="16"/>
        <item x="96"/>
        <item x="93"/>
        <item x="59"/>
        <item x="120"/>
        <item x="73"/>
        <item x="178"/>
        <item x="77"/>
        <item x="199"/>
        <item x="48"/>
        <item x="125"/>
        <item x="49"/>
        <item x="94"/>
        <item x="66"/>
        <item x="27"/>
        <item x="149"/>
        <item x="119"/>
        <item x="99"/>
        <item x="63"/>
        <item x="7"/>
        <item x="74"/>
        <item x="108"/>
        <item x="167"/>
        <item x="79"/>
        <item x="168"/>
        <item x="130"/>
        <item x="159"/>
        <item x="172"/>
        <item x="197"/>
        <item x="111"/>
        <item x="189"/>
        <item x="18"/>
        <item x="47"/>
        <item x="198"/>
        <item x="165"/>
        <item x="38"/>
        <item x="115"/>
        <item x="105"/>
        <item x="17"/>
        <item x="53"/>
        <item x="71"/>
        <item x="83"/>
        <item x="5"/>
        <item x="95"/>
        <item x="173"/>
        <item x="134"/>
        <item x="98"/>
        <item x="68"/>
        <item x="21"/>
        <item x="72"/>
        <item x="81"/>
        <item x="82"/>
        <item x="136"/>
        <item x="123"/>
        <item x="129"/>
        <item x="131"/>
        <item x="0"/>
        <item x="180"/>
        <item x="15"/>
        <item x="67"/>
        <item x="152"/>
        <item x="133"/>
        <item x="97"/>
        <item x="45"/>
        <item x="143"/>
        <item x="145"/>
        <item x="144"/>
        <item x="102"/>
        <item x="69"/>
        <item x="151"/>
        <item x="75"/>
        <item x="171"/>
        <item x="87"/>
        <item x="184"/>
        <item x="37"/>
        <item x="60"/>
        <item x="20"/>
        <item x="25"/>
        <item x="150"/>
        <item x="85"/>
        <item x="179"/>
        <item x="164"/>
        <item x="117"/>
        <item x="86"/>
        <item x="70"/>
        <item x="26"/>
        <item x="147"/>
        <item x="1"/>
        <item x="106"/>
        <item x="58"/>
        <item x="32"/>
        <item x="156"/>
        <item x="109"/>
        <item x="56"/>
        <item x="153"/>
        <item x="188"/>
        <item x="158"/>
        <item x="44"/>
        <item x="107"/>
        <item x="118"/>
        <item x="114"/>
        <item x="196"/>
        <item x="157"/>
        <item x="80"/>
        <item x="113"/>
        <item x="174"/>
        <item t="default"/>
      </items>
    </pivotField>
    <pivotField axis="axisRow" compact="0" showAll="0">
      <items count="6">
        <item x="4"/>
        <item x="1"/>
        <item x="3"/>
        <item x="0"/>
        <item x="2"/>
        <item t="default"/>
      </items>
    </pivotField>
    <pivotField dataField="1" compact="0" numFmtId="2" showAll="0">
      <items count="134">
        <item x="122"/>
        <item x="119"/>
        <item x="13"/>
        <item x="104"/>
        <item x="98"/>
        <item x="18"/>
        <item x="129"/>
        <item x="99"/>
        <item x="120"/>
        <item x="50"/>
        <item x="78"/>
        <item x="44"/>
        <item x="69"/>
        <item x="28"/>
        <item x="130"/>
        <item x="56"/>
        <item x="88"/>
        <item x="116"/>
        <item x="128"/>
        <item x="4"/>
        <item x="73"/>
        <item x="11"/>
        <item x="127"/>
        <item x="35"/>
        <item x="86"/>
        <item x="51"/>
        <item x="95"/>
        <item x="6"/>
        <item x="112"/>
        <item x="54"/>
        <item x="90"/>
        <item x="23"/>
        <item x="100"/>
        <item x="85"/>
        <item x="60"/>
        <item x="118"/>
        <item x="105"/>
        <item x="131"/>
        <item x="113"/>
        <item x="110"/>
        <item x="62"/>
        <item x="125"/>
        <item x="49"/>
        <item x="124"/>
        <item x="36"/>
        <item x="37"/>
        <item x="106"/>
        <item x="29"/>
        <item x="64"/>
        <item x="32"/>
        <item x="79"/>
        <item x="89"/>
        <item x="111"/>
        <item x="53"/>
        <item x="46"/>
        <item x="26"/>
        <item x="63"/>
        <item x="71"/>
        <item x="81"/>
        <item x="84"/>
        <item x="59"/>
        <item x="96"/>
        <item x="30"/>
        <item x="47"/>
        <item x="2"/>
        <item x="27"/>
        <item x="22"/>
        <item x="80"/>
        <item x="92"/>
        <item x="41"/>
        <item x="42"/>
        <item x="68"/>
        <item x="9"/>
        <item x="121"/>
        <item x="117"/>
        <item x="114"/>
        <item x="132"/>
        <item x="0"/>
        <item x="57"/>
        <item x="103"/>
        <item x="76"/>
        <item x="15"/>
        <item x="61"/>
        <item x="87"/>
        <item x="33"/>
        <item x="8"/>
        <item x="66"/>
        <item x="52"/>
        <item x="5"/>
        <item x="94"/>
        <item x="14"/>
        <item x="82"/>
        <item x="75"/>
        <item x="83"/>
        <item x="10"/>
        <item x="17"/>
        <item x="7"/>
        <item x="58"/>
        <item x="40"/>
        <item x="38"/>
        <item x="31"/>
        <item x="70"/>
        <item x="3"/>
        <item x="24"/>
        <item x="25"/>
        <item x="115"/>
        <item x="39"/>
        <item x="91"/>
        <item x="45"/>
        <item x="93"/>
        <item x="65"/>
        <item x="19"/>
        <item x="109"/>
        <item x="97"/>
        <item x="34"/>
        <item x="1"/>
        <item x="12"/>
        <item x="74"/>
        <item x="108"/>
        <item x="48"/>
        <item x="21"/>
        <item x="20"/>
        <item x="102"/>
        <item x="72"/>
        <item x="55"/>
        <item x="123"/>
        <item x="16"/>
        <item x="43"/>
        <item x="77"/>
        <item x="126"/>
        <item x="67"/>
        <item x="101"/>
        <item x="107"/>
        <item t="default"/>
      </items>
    </pivotField>
    <pivotField compact="0" numFmtId="1" showAll="0">
      <items count="8">
        <item x="5"/>
        <item x="3"/>
        <item x="0"/>
        <item x="1"/>
        <item x="6"/>
        <item x="2"/>
        <item x="4"/>
        <item t="default"/>
      </items>
    </pivotField>
    <pivotField dataField="1" compact="0" numFmtId="2" showAll="0">
      <items count="201">
        <item x="98"/>
        <item x="60"/>
        <item x="48"/>
        <item x="61"/>
        <item x="134"/>
        <item x="170"/>
        <item x="13"/>
        <item x="165"/>
        <item x="151"/>
        <item x="81"/>
        <item x="79"/>
        <item x="14"/>
        <item x="190"/>
        <item x="9"/>
        <item x="88"/>
        <item x="137"/>
        <item x="35"/>
        <item x="84"/>
        <item x="54"/>
        <item x="127"/>
        <item x="41"/>
        <item x="53"/>
        <item x="158"/>
        <item x="197"/>
        <item x="107"/>
        <item x="93"/>
        <item x="71"/>
        <item x="140"/>
        <item x="171"/>
        <item x="130"/>
        <item x="21"/>
        <item x="72"/>
        <item x="160"/>
        <item x="155"/>
        <item x="39"/>
        <item x="20"/>
        <item x="0"/>
        <item x="104"/>
        <item x="2"/>
        <item x="128"/>
        <item x="97"/>
        <item x="83"/>
        <item x="69"/>
        <item x="74"/>
        <item x="193"/>
        <item x="59"/>
        <item x="144"/>
        <item x="163"/>
        <item x="34"/>
        <item x="36"/>
        <item x="37"/>
        <item x="51"/>
        <item x="77"/>
        <item x="5"/>
        <item x="47"/>
        <item x="131"/>
        <item x="176"/>
        <item x="91"/>
        <item x="89"/>
        <item x="25"/>
        <item x="117"/>
        <item x="111"/>
        <item x="7"/>
        <item x="175"/>
        <item x="129"/>
        <item x="28"/>
        <item x="15"/>
        <item x="118"/>
        <item x="76"/>
        <item x="148"/>
        <item x="22"/>
        <item x="18"/>
        <item x="45"/>
        <item x="65"/>
        <item x="139"/>
        <item x="162"/>
        <item x="105"/>
        <item x="122"/>
        <item x="38"/>
        <item x="196"/>
        <item x="125"/>
        <item x="33"/>
        <item x="31"/>
        <item x="56"/>
        <item x="102"/>
        <item x="1"/>
        <item x="44"/>
        <item x="110"/>
        <item x="178"/>
        <item x="195"/>
        <item x="120"/>
        <item x="43"/>
        <item x="174"/>
        <item x="12"/>
        <item x="199"/>
        <item x="90"/>
        <item x="4"/>
        <item x="194"/>
        <item x="64"/>
        <item x="123"/>
        <item x="11"/>
        <item x="173"/>
        <item x="109"/>
        <item x="24"/>
        <item x="156"/>
        <item x="191"/>
        <item x="113"/>
        <item x="169"/>
        <item x="133"/>
        <item x="52"/>
        <item x="145"/>
        <item x="198"/>
        <item x="167"/>
        <item x="161"/>
        <item x="146"/>
        <item x="66"/>
        <item x="152"/>
        <item x="141"/>
        <item x="154"/>
        <item x="119"/>
        <item x="187"/>
        <item x="19"/>
        <item x="94"/>
        <item x="73"/>
        <item x="136"/>
        <item x="124"/>
        <item x="17"/>
        <item x="42"/>
        <item x="150"/>
        <item x="80"/>
        <item x="164"/>
        <item x="180"/>
        <item x="85"/>
        <item x="68"/>
        <item x="32"/>
        <item x="138"/>
        <item x="57"/>
        <item x="143"/>
        <item x="87"/>
        <item x="184"/>
        <item x="75"/>
        <item x="10"/>
        <item x="62"/>
        <item x="189"/>
        <item x="147"/>
        <item x="188"/>
        <item x="142"/>
        <item x="86"/>
        <item x="186"/>
        <item x="103"/>
        <item x="157"/>
        <item x="166"/>
        <item x="82"/>
        <item x="70"/>
        <item x="132"/>
        <item x="192"/>
        <item x="172"/>
        <item x="149"/>
        <item x="114"/>
        <item x="185"/>
        <item x="92"/>
        <item x="27"/>
        <item x="159"/>
        <item x="55"/>
        <item x="3"/>
        <item x="106"/>
        <item x="182"/>
        <item x="115"/>
        <item x="181"/>
        <item x="67"/>
        <item x="153"/>
        <item x="23"/>
        <item x="50"/>
        <item x="46"/>
        <item x="168"/>
        <item x="100"/>
        <item x="179"/>
        <item x="108"/>
        <item x="96"/>
        <item x="8"/>
        <item x="112"/>
        <item x="49"/>
        <item x="101"/>
        <item x="116"/>
        <item x="63"/>
        <item x="121"/>
        <item x="6"/>
        <item x="58"/>
        <item x="16"/>
        <item x="26"/>
        <item x="40"/>
        <item x="183"/>
        <item x="177"/>
        <item x="29"/>
        <item x="99"/>
        <item x="135"/>
        <item x="30"/>
        <item x="95"/>
        <item x="126"/>
        <item x="7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udentID" fld="0" subtotal="count" baseField="0" baseItem="0"/>
    <dataField name="Average of GPA" fld="5" subtotal="average" baseField="0" baseItem="0"/>
    <dataField name="Average of Attendance" fld="7" subtotal="average" baseField="0" baseItem="0"/>
  </dataFields>
  <formats count="7">
    <format dxfId="0">
      <pivotArea collapsedLevelsAreSubtotals="1" fieldPosition="0">
        <references count="2">
          <reference field="4" count="1" selected="0">
            <x v="0"/>
          </reference>
          <reference field="4294967294" count="1" selected="0">
            <x v="2"/>
          </reference>
        </references>
      </pivotArea>
    </format>
    <format dxfId="1">
      <pivotArea collapsedLevelsAreSubtotals="1" fieldPosition="0">
        <references count="2">
          <reference field="4" count="1" selected="0">
            <x v="1"/>
          </reference>
          <reference field="4294967294" count="1" selected="0">
            <x v="2"/>
          </reference>
        </references>
      </pivotArea>
    </format>
    <format dxfId="2">
      <pivotArea collapsedLevelsAreSubtotals="1" fieldPosition="0">
        <references count="2">
          <reference field="4" count="1" selected="0">
            <x v="2"/>
          </reference>
          <reference field="4294967294" count="1" selected="0">
            <x v="2"/>
          </reference>
        </references>
      </pivotArea>
    </format>
    <format dxfId="3">
      <pivotArea collapsedLevelsAreSubtotals="1" fieldPosition="0">
        <references count="2">
          <reference field="4" count="1" selected="0">
            <x v="3"/>
          </reference>
          <reference field="4294967294" count="1" selected="0">
            <x v="2"/>
          </reference>
        </references>
      </pivotArea>
    </format>
    <format dxfId="4">
      <pivotArea collapsedLevelsAreSubtotals="1" fieldPosition="0">
        <references count="2">
          <reference field="4" count="1" selected="0">
            <x v="4"/>
          </reference>
          <reference field="4294967294" count="1" selected="0">
            <x v="2"/>
          </reference>
        </references>
      </pivotArea>
    </format>
    <format dxfId="5">
      <pivotArea grandRow="1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Highest Attendance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C6:D12" firstHeaderRow="1" firstDataRow="1" firstDataCol="1"/>
  <pivotFields count="10">
    <pivotField compact="0" showAll="0">
      <items count="201">
        <item x="39"/>
        <item x="151"/>
        <item x="25"/>
        <item x="84"/>
        <item x="110"/>
        <item x="176"/>
        <item x="74"/>
        <item x="2"/>
        <item x="141"/>
        <item x="133"/>
        <item x="122"/>
        <item x="109"/>
        <item x="123"/>
        <item x="106"/>
        <item x="72"/>
        <item x="86"/>
        <item x="105"/>
        <item x="22"/>
        <item x="145"/>
        <item x="168"/>
        <item x="100"/>
        <item x="160"/>
        <item x="60"/>
        <item x="191"/>
        <item x="159"/>
        <item x="21"/>
        <item x="155"/>
        <item x="65"/>
        <item x="108"/>
        <item x="85"/>
        <item x="186"/>
        <item x="117"/>
        <item x="179"/>
        <item x="174"/>
        <item x="190"/>
        <item x="20"/>
        <item x="58"/>
        <item x="165"/>
        <item x="53"/>
        <item x="10"/>
        <item x="17"/>
        <item x="83"/>
        <item x="195"/>
        <item x="0"/>
        <item x="192"/>
        <item x="57"/>
        <item x="196"/>
        <item x="36"/>
        <item x="118"/>
        <item x="15"/>
        <item x="147"/>
        <item x="47"/>
        <item x="130"/>
        <item x="164"/>
        <item x="194"/>
        <item x="30"/>
        <item x="146"/>
        <item x="169"/>
        <item x="129"/>
        <item x="125"/>
        <item x="75"/>
        <item x="42"/>
        <item x="181"/>
        <item x="97"/>
        <item x="107"/>
        <item x="87"/>
        <item x="16"/>
        <item x="198"/>
        <item x="89"/>
        <item x="59"/>
        <item x="76"/>
        <item x="121"/>
        <item x="50"/>
        <item x="55"/>
        <item x="137"/>
        <item x="91"/>
        <item x="27"/>
        <item x="80"/>
        <item x="14"/>
        <item x="23"/>
        <item x="119"/>
        <item x="101"/>
        <item x="51"/>
        <item x="158"/>
        <item x="6"/>
        <item x="184"/>
        <item x="34"/>
        <item x="46"/>
        <item x="172"/>
        <item x="38"/>
        <item x="61"/>
        <item x="5"/>
        <item x="78"/>
        <item x="94"/>
        <item x="18"/>
        <item x="154"/>
        <item x="62"/>
        <item x="193"/>
        <item x="52"/>
        <item x="96"/>
        <item x="79"/>
        <item x="32"/>
        <item x="28"/>
        <item x="40"/>
        <item x="104"/>
        <item x="114"/>
        <item x="67"/>
        <item x="126"/>
        <item x="7"/>
        <item x="44"/>
        <item x="95"/>
        <item x="69"/>
        <item x="199"/>
        <item x="162"/>
        <item x="153"/>
        <item x="64"/>
        <item x="37"/>
        <item x="112"/>
        <item x="135"/>
        <item x="98"/>
        <item x="140"/>
        <item x="177"/>
        <item x="9"/>
        <item x="24"/>
        <item x="3"/>
        <item x="88"/>
        <item x="77"/>
        <item x="175"/>
        <item x="99"/>
        <item x="120"/>
        <item x="43"/>
        <item x="70"/>
        <item x="127"/>
        <item x="180"/>
        <item x="189"/>
        <item x="142"/>
        <item x="56"/>
        <item x="35"/>
        <item x="136"/>
        <item x="102"/>
        <item x="152"/>
        <item x="26"/>
        <item x="111"/>
        <item x="131"/>
        <item x="187"/>
        <item x="148"/>
        <item x="156"/>
        <item x="185"/>
        <item x="31"/>
        <item x="11"/>
        <item x="128"/>
        <item x="188"/>
        <item x="19"/>
        <item x="33"/>
        <item x="103"/>
        <item x="63"/>
        <item x="73"/>
        <item x="183"/>
        <item x="134"/>
        <item x="170"/>
        <item x="116"/>
        <item x="41"/>
        <item x="115"/>
        <item x="54"/>
        <item x="132"/>
        <item x="29"/>
        <item x="82"/>
        <item x="157"/>
        <item x="90"/>
        <item x="149"/>
        <item x="8"/>
        <item x="1"/>
        <item x="163"/>
        <item x="93"/>
        <item x="4"/>
        <item x="113"/>
        <item x="161"/>
        <item x="173"/>
        <item x="13"/>
        <item x="197"/>
        <item x="166"/>
        <item x="144"/>
        <item x="138"/>
        <item x="49"/>
        <item x="92"/>
        <item x="48"/>
        <item x="178"/>
        <item x="150"/>
        <item x="66"/>
        <item x="12"/>
        <item x="45"/>
        <item x="167"/>
        <item x="182"/>
        <item x="124"/>
        <item x="81"/>
        <item x="71"/>
        <item x="171"/>
        <item x="68"/>
        <item x="139"/>
        <item x="143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ortType="descending" showAll="0">
      <items count="6">
        <item x="4"/>
        <item x="1"/>
        <item x="3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"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compact="0"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numFmtId="2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4"/>
  </rowFields>
  <rowItems count="6"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Average of Attendance" fld="7" subtotal="average" baseField="0" baseItem="0"/>
  </dataFields>
  <formats count="5">
    <format dxfId="7">
      <pivotArea collapsedLevelsAreSubtotals="1" fieldPosition="0">
        <references count="1">
          <reference field="4" count="1" selected="0">
            <x v="1"/>
          </reference>
        </references>
      </pivotArea>
    </format>
    <format dxfId="8">
      <pivotArea collapsedLevelsAreSubtotals="1" fieldPosition="0">
        <references count="1">
          <reference field="4" count="1" selected="0">
            <x v="2"/>
          </reference>
        </references>
      </pivotArea>
    </format>
    <format dxfId="9">
      <pivotArea collapsedLevelsAreSubtotals="1" fieldPosition="0">
        <references count="1">
          <reference field="4" count="1" selected="0">
            <x v="3"/>
          </reference>
        </references>
      </pivotArea>
    </format>
    <format dxfId="10">
      <pivotArea collapsedLevelsAreSubtotals="1" fieldPosition="0">
        <references count="1">
          <reference field="4" count="1" selected="0">
            <x v="0"/>
          </reference>
        </references>
      </pivotArea>
    </format>
    <format dxfId="11">
      <pivotArea collapsedLevelsAreSubtotals="1" fieldPosition="0">
        <references count="1">
          <reference field="4" count="1" selected="0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Count Ages For Each Graduation Year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:J10" firstHeaderRow="1" firstDataRow="2" firstDataCol="1"/>
  <pivotFields count="10">
    <pivotField dataField="1" compact="0" showAll="0">
      <items count="201">
        <item x="39"/>
        <item x="151"/>
        <item x="25"/>
        <item x="84"/>
        <item x="110"/>
        <item x="176"/>
        <item x="74"/>
        <item x="2"/>
        <item x="141"/>
        <item x="133"/>
        <item x="122"/>
        <item x="109"/>
        <item x="123"/>
        <item x="106"/>
        <item x="72"/>
        <item x="86"/>
        <item x="105"/>
        <item x="22"/>
        <item x="145"/>
        <item x="168"/>
        <item x="100"/>
        <item x="160"/>
        <item x="60"/>
        <item x="191"/>
        <item x="159"/>
        <item x="21"/>
        <item x="155"/>
        <item x="65"/>
        <item x="108"/>
        <item x="85"/>
        <item x="186"/>
        <item x="117"/>
        <item x="179"/>
        <item x="174"/>
        <item x="190"/>
        <item x="20"/>
        <item x="58"/>
        <item x="165"/>
        <item x="53"/>
        <item x="10"/>
        <item x="17"/>
        <item x="83"/>
        <item x="195"/>
        <item x="0"/>
        <item x="192"/>
        <item x="57"/>
        <item x="196"/>
        <item x="36"/>
        <item x="118"/>
        <item x="15"/>
        <item x="147"/>
        <item x="47"/>
        <item x="130"/>
        <item x="164"/>
        <item x="194"/>
        <item x="30"/>
        <item x="146"/>
        <item x="169"/>
        <item x="129"/>
        <item x="125"/>
        <item x="75"/>
        <item x="42"/>
        <item x="181"/>
        <item x="97"/>
        <item x="107"/>
        <item x="87"/>
        <item x="16"/>
        <item x="198"/>
        <item x="89"/>
        <item x="59"/>
        <item x="76"/>
        <item x="121"/>
        <item x="50"/>
        <item x="55"/>
        <item x="137"/>
        <item x="91"/>
        <item x="27"/>
        <item x="80"/>
        <item x="14"/>
        <item x="23"/>
        <item x="119"/>
        <item x="101"/>
        <item x="51"/>
        <item x="158"/>
        <item x="6"/>
        <item x="184"/>
        <item x="34"/>
        <item x="46"/>
        <item x="172"/>
        <item x="38"/>
        <item x="61"/>
        <item x="5"/>
        <item x="78"/>
        <item x="94"/>
        <item x="18"/>
        <item x="154"/>
        <item x="62"/>
        <item x="193"/>
        <item x="52"/>
        <item x="96"/>
        <item x="79"/>
        <item x="32"/>
        <item x="28"/>
        <item x="40"/>
        <item x="104"/>
        <item x="114"/>
        <item x="67"/>
        <item x="126"/>
        <item x="7"/>
        <item x="44"/>
        <item x="95"/>
        <item x="69"/>
        <item x="199"/>
        <item x="162"/>
        <item x="153"/>
        <item x="64"/>
        <item x="37"/>
        <item x="112"/>
        <item x="135"/>
        <item x="98"/>
        <item x="140"/>
        <item x="177"/>
        <item x="9"/>
        <item x="24"/>
        <item x="3"/>
        <item x="88"/>
        <item x="77"/>
        <item x="175"/>
        <item x="99"/>
        <item x="120"/>
        <item x="43"/>
        <item x="70"/>
        <item x="127"/>
        <item x="180"/>
        <item x="189"/>
        <item x="142"/>
        <item x="56"/>
        <item x="35"/>
        <item x="136"/>
        <item x="102"/>
        <item x="152"/>
        <item x="26"/>
        <item x="111"/>
        <item x="131"/>
        <item x="187"/>
        <item x="148"/>
        <item x="156"/>
        <item x="185"/>
        <item x="31"/>
        <item x="11"/>
        <item x="128"/>
        <item x="188"/>
        <item x="19"/>
        <item x="33"/>
        <item x="103"/>
        <item x="63"/>
        <item x="73"/>
        <item x="183"/>
        <item x="134"/>
        <item x="170"/>
        <item x="116"/>
        <item x="41"/>
        <item x="115"/>
        <item x="54"/>
        <item x="132"/>
        <item x="29"/>
        <item x="82"/>
        <item x="157"/>
        <item x="90"/>
        <item x="149"/>
        <item x="8"/>
        <item x="1"/>
        <item x="163"/>
        <item x="93"/>
        <item x="4"/>
        <item x="113"/>
        <item x="161"/>
        <item x="173"/>
        <item x="13"/>
        <item x="197"/>
        <item x="166"/>
        <item x="144"/>
        <item x="138"/>
        <item x="49"/>
        <item x="92"/>
        <item x="48"/>
        <item x="178"/>
        <item x="150"/>
        <item x="66"/>
        <item x="12"/>
        <item x="45"/>
        <item x="167"/>
        <item x="182"/>
        <item x="124"/>
        <item x="81"/>
        <item x="71"/>
        <item x="171"/>
        <item x="68"/>
        <item x="139"/>
        <item x="143"/>
        <item t="default"/>
      </items>
    </pivotField>
    <pivotField compact="0" showAll="0">
      <items count="201">
        <item x="10"/>
        <item x="11"/>
        <item x="15"/>
        <item x="34"/>
        <item x="123"/>
        <item x="182"/>
        <item x="39"/>
        <item x="73"/>
        <item x="146"/>
        <item x="149"/>
        <item x="145"/>
        <item x="26"/>
        <item x="53"/>
        <item x="1"/>
        <item x="125"/>
        <item x="138"/>
        <item x="160"/>
        <item x="59"/>
        <item x="104"/>
        <item x="50"/>
        <item x="64"/>
        <item x="161"/>
        <item x="65"/>
        <item x="155"/>
        <item x="33"/>
        <item x="105"/>
        <item x="175"/>
        <item x="187"/>
        <item x="97"/>
        <item x="29"/>
        <item x="79"/>
        <item x="100"/>
        <item x="69"/>
        <item x="195"/>
        <item x="163"/>
        <item x="88"/>
        <item x="162"/>
        <item x="176"/>
        <item x="18"/>
        <item x="143"/>
        <item x="12"/>
        <item x="170"/>
        <item x="17"/>
        <item x="49"/>
        <item x="76"/>
        <item x="158"/>
        <item x="68"/>
        <item x="186"/>
        <item x="42"/>
        <item x="19"/>
        <item x="62"/>
        <item x="183"/>
        <item x="0"/>
        <item x="16"/>
        <item x="23"/>
        <item x="80"/>
        <item x="92"/>
        <item x="166"/>
        <item x="188"/>
        <item x="139"/>
        <item x="127"/>
        <item x="128"/>
        <item x="9"/>
        <item x="60"/>
        <item x="22"/>
        <item x="179"/>
        <item x="41"/>
        <item x="185"/>
        <item x="58"/>
        <item x="121"/>
        <item x="56"/>
        <item x="129"/>
        <item x="48"/>
        <item x="109"/>
        <item x="180"/>
        <item x="191"/>
        <item x="181"/>
        <item x="40"/>
        <item x="6"/>
        <item x="51"/>
        <item x="38"/>
        <item x="111"/>
        <item x="114"/>
        <item x="116"/>
        <item x="67"/>
        <item x="189"/>
        <item x="107"/>
        <item x="150"/>
        <item x="96"/>
        <item x="82"/>
        <item x="63"/>
        <item x="194"/>
        <item x="110"/>
        <item x="192"/>
        <item x="2"/>
        <item x="113"/>
        <item x="144"/>
        <item x="196"/>
        <item x="78"/>
        <item x="54"/>
        <item x="4"/>
        <item x="131"/>
        <item x="3"/>
        <item x="142"/>
        <item x="119"/>
        <item x="169"/>
        <item x="14"/>
        <item x="106"/>
        <item x="173"/>
        <item x="25"/>
        <item x="171"/>
        <item x="55"/>
        <item x="86"/>
        <item x="172"/>
        <item x="98"/>
        <item x="44"/>
        <item x="108"/>
        <item x="117"/>
        <item x="178"/>
        <item x="153"/>
        <item x="21"/>
        <item x="118"/>
        <item x="47"/>
        <item x="77"/>
        <item x="193"/>
        <item x="124"/>
        <item x="8"/>
        <item x="134"/>
        <item x="75"/>
        <item x="167"/>
        <item x="140"/>
        <item x="199"/>
        <item x="112"/>
        <item x="157"/>
        <item x="52"/>
        <item x="91"/>
        <item x="115"/>
        <item x="122"/>
        <item x="66"/>
        <item x="133"/>
        <item x="45"/>
        <item x="70"/>
        <item x="120"/>
        <item x="152"/>
        <item x="103"/>
        <item x="95"/>
        <item x="24"/>
        <item x="87"/>
        <item x="72"/>
        <item x="99"/>
        <item x="132"/>
        <item x="135"/>
        <item x="57"/>
        <item x="102"/>
        <item x="184"/>
        <item x="31"/>
        <item x="43"/>
        <item x="136"/>
        <item x="156"/>
        <item x="7"/>
        <item x="137"/>
        <item x="27"/>
        <item x="84"/>
        <item x="147"/>
        <item x="85"/>
        <item x="148"/>
        <item x="30"/>
        <item x="165"/>
        <item x="94"/>
        <item x="36"/>
        <item x="89"/>
        <item x="90"/>
        <item x="164"/>
        <item x="81"/>
        <item x="74"/>
        <item x="154"/>
        <item x="126"/>
        <item x="198"/>
        <item x="37"/>
        <item x="20"/>
        <item x="83"/>
        <item x="13"/>
        <item x="46"/>
        <item x="28"/>
        <item x="190"/>
        <item x="197"/>
        <item x="168"/>
        <item x="93"/>
        <item x="5"/>
        <item x="174"/>
        <item x="141"/>
        <item x="177"/>
        <item x="130"/>
        <item x="35"/>
        <item x="32"/>
        <item x="159"/>
        <item x="101"/>
        <item x="61"/>
        <item x="71"/>
        <item x="151"/>
        <item t="default"/>
      </items>
    </pivotField>
    <pivotField axis="axisCol" compact="0" numFmtId="1" showAll="0">
      <items count="9">
        <item x="4"/>
        <item x="0"/>
        <item x="5"/>
        <item x="7"/>
        <item x="2"/>
        <item x="1"/>
        <item x="3"/>
        <item x="6"/>
        <item t="default"/>
      </items>
    </pivotField>
    <pivotField compact="0" showAll="0">
      <items count="201">
        <item x="127"/>
        <item x="51"/>
        <item x="187"/>
        <item x="135"/>
        <item x="36"/>
        <item x="185"/>
        <item x="91"/>
        <item x="43"/>
        <item x="23"/>
        <item x="138"/>
        <item x="191"/>
        <item x="54"/>
        <item x="55"/>
        <item x="148"/>
        <item x="92"/>
        <item x="132"/>
        <item x="30"/>
        <item x="170"/>
        <item x="112"/>
        <item x="193"/>
        <item x="177"/>
        <item x="100"/>
        <item x="33"/>
        <item x="162"/>
        <item x="128"/>
        <item x="142"/>
        <item x="140"/>
        <item x="10"/>
        <item x="57"/>
        <item x="186"/>
        <item x="14"/>
        <item x="110"/>
        <item x="29"/>
        <item x="101"/>
        <item x="62"/>
        <item x="64"/>
        <item x="182"/>
        <item x="141"/>
        <item x="183"/>
        <item x="90"/>
        <item x="154"/>
        <item x="31"/>
        <item x="40"/>
        <item x="61"/>
        <item x="11"/>
        <item x="104"/>
        <item x="169"/>
        <item x="19"/>
        <item x="116"/>
        <item x="166"/>
        <item x="6"/>
        <item x="24"/>
        <item x="194"/>
        <item x="34"/>
        <item x="46"/>
        <item x="190"/>
        <item x="122"/>
        <item x="76"/>
        <item x="195"/>
        <item x="126"/>
        <item x="3"/>
        <item x="9"/>
        <item x="176"/>
        <item x="103"/>
        <item x="181"/>
        <item x="163"/>
        <item x="146"/>
        <item x="4"/>
        <item x="28"/>
        <item x="22"/>
        <item x="13"/>
        <item x="2"/>
        <item x="137"/>
        <item x="8"/>
        <item x="84"/>
        <item x="35"/>
        <item x="12"/>
        <item x="175"/>
        <item x="160"/>
        <item x="52"/>
        <item x="42"/>
        <item x="41"/>
        <item x="161"/>
        <item x="50"/>
        <item x="192"/>
        <item x="139"/>
        <item x="78"/>
        <item x="89"/>
        <item x="65"/>
        <item x="124"/>
        <item x="39"/>
        <item x="88"/>
        <item x="155"/>
        <item x="121"/>
        <item x="16"/>
        <item x="96"/>
        <item x="93"/>
        <item x="59"/>
        <item x="120"/>
        <item x="73"/>
        <item x="178"/>
        <item x="77"/>
        <item x="199"/>
        <item x="48"/>
        <item x="125"/>
        <item x="49"/>
        <item x="94"/>
        <item x="66"/>
        <item x="27"/>
        <item x="149"/>
        <item x="119"/>
        <item x="99"/>
        <item x="63"/>
        <item x="7"/>
        <item x="74"/>
        <item x="108"/>
        <item x="167"/>
        <item x="79"/>
        <item x="168"/>
        <item x="130"/>
        <item x="159"/>
        <item x="172"/>
        <item x="197"/>
        <item x="111"/>
        <item x="189"/>
        <item x="18"/>
        <item x="47"/>
        <item x="198"/>
        <item x="165"/>
        <item x="38"/>
        <item x="115"/>
        <item x="105"/>
        <item x="17"/>
        <item x="53"/>
        <item x="71"/>
        <item x="83"/>
        <item x="5"/>
        <item x="95"/>
        <item x="173"/>
        <item x="134"/>
        <item x="98"/>
        <item x="68"/>
        <item x="21"/>
        <item x="72"/>
        <item x="81"/>
        <item x="82"/>
        <item x="136"/>
        <item x="123"/>
        <item x="129"/>
        <item x="131"/>
        <item x="0"/>
        <item x="180"/>
        <item x="15"/>
        <item x="67"/>
        <item x="152"/>
        <item x="133"/>
        <item x="97"/>
        <item x="45"/>
        <item x="143"/>
        <item x="145"/>
        <item x="144"/>
        <item x="102"/>
        <item x="69"/>
        <item x="151"/>
        <item x="75"/>
        <item x="171"/>
        <item x="87"/>
        <item x="184"/>
        <item x="37"/>
        <item x="60"/>
        <item x="20"/>
        <item x="25"/>
        <item x="150"/>
        <item x="85"/>
        <item x="179"/>
        <item x="164"/>
        <item x="117"/>
        <item x="86"/>
        <item x="70"/>
        <item x="26"/>
        <item x="147"/>
        <item x="1"/>
        <item x="106"/>
        <item x="58"/>
        <item x="32"/>
        <item x="156"/>
        <item x="109"/>
        <item x="56"/>
        <item x="153"/>
        <item x="188"/>
        <item x="158"/>
        <item x="44"/>
        <item x="107"/>
        <item x="118"/>
        <item x="114"/>
        <item x="196"/>
        <item x="157"/>
        <item x="80"/>
        <item x="113"/>
        <item x="174"/>
        <item t="default"/>
      </items>
    </pivotField>
    <pivotField compact="0" showAll="0">
      <items count="6">
        <item x="4"/>
        <item x="1"/>
        <item x="3"/>
        <item x="0"/>
        <item x="2"/>
        <item t="default"/>
      </items>
    </pivotField>
    <pivotField compact="0" numFmtId="2" showAll="0">
      <items count="134">
        <item x="122"/>
        <item x="119"/>
        <item x="13"/>
        <item x="104"/>
        <item x="98"/>
        <item x="18"/>
        <item x="129"/>
        <item x="99"/>
        <item x="120"/>
        <item x="50"/>
        <item x="78"/>
        <item x="44"/>
        <item x="69"/>
        <item x="28"/>
        <item x="130"/>
        <item x="56"/>
        <item x="88"/>
        <item x="116"/>
        <item x="128"/>
        <item x="4"/>
        <item x="73"/>
        <item x="11"/>
        <item x="127"/>
        <item x="35"/>
        <item x="86"/>
        <item x="51"/>
        <item x="95"/>
        <item x="6"/>
        <item x="112"/>
        <item x="54"/>
        <item x="90"/>
        <item x="23"/>
        <item x="100"/>
        <item x="85"/>
        <item x="60"/>
        <item x="118"/>
        <item x="105"/>
        <item x="131"/>
        <item x="113"/>
        <item x="110"/>
        <item x="62"/>
        <item x="125"/>
        <item x="49"/>
        <item x="124"/>
        <item x="36"/>
        <item x="37"/>
        <item x="106"/>
        <item x="29"/>
        <item x="64"/>
        <item x="32"/>
        <item x="79"/>
        <item x="89"/>
        <item x="111"/>
        <item x="53"/>
        <item x="46"/>
        <item x="26"/>
        <item x="63"/>
        <item x="71"/>
        <item x="81"/>
        <item x="84"/>
        <item x="59"/>
        <item x="96"/>
        <item x="30"/>
        <item x="47"/>
        <item x="2"/>
        <item x="27"/>
        <item x="22"/>
        <item x="80"/>
        <item x="92"/>
        <item x="41"/>
        <item x="42"/>
        <item x="68"/>
        <item x="9"/>
        <item x="121"/>
        <item x="117"/>
        <item x="114"/>
        <item x="132"/>
        <item x="0"/>
        <item x="57"/>
        <item x="103"/>
        <item x="76"/>
        <item x="15"/>
        <item x="61"/>
        <item x="87"/>
        <item x="33"/>
        <item x="8"/>
        <item x="66"/>
        <item x="52"/>
        <item x="5"/>
        <item x="94"/>
        <item x="14"/>
        <item x="82"/>
        <item x="75"/>
        <item x="83"/>
        <item x="10"/>
        <item x="17"/>
        <item x="7"/>
        <item x="58"/>
        <item x="40"/>
        <item x="38"/>
        <item x="31"/>
        <item x="70"/>
        <item x="3"/>
        <item x="24"/>
        <item x="25"/>
        <item x="115"/>
        <item x="39"/>
        <item x="91"/>
        <item x="45"/>
        <item x="93"/>
        <item x="65"/>
        <item x="19"/>
        <item x="109"/>
        <item x="97"/>
        <item x="34"/>
        <item x="1"/>
        <item x="12"/>
        <item x="74"/>
        <item x="108"/>
        <item x="48"/>
        <item x="21"/>
        <item x="20"/>
        <item x="102"/>
        <item x="72"/>
        <item x="55"/>
        <item x="123"/>
        <item x="16"/>
        <item x="43"/>
        <item x="77"/>
        <item x="126"/>
        <item x="67"/>
        <item x="101"/>
        <item x="107"/>
        <item t="default"/>
      </items>
    </pivotField>
    <pivotField axis="axisRow" compact="0" numFmtId="1" showAll="0">
      <items count="8">
        <item x="5"/>
        <item x="3"/>
        <item x="0"/>
        <item x="1"/>
        <item x="6"/>
        <item x="2"/>
        <item x="4"/>
        <item t="default"/>
      </items>
    </pivotField>
    <pivotField compact="0" numFmtId="2" showAll="0">
      <items count="201">
        <item x="98"/>
        <item x="60"/>
        <item x="48"/>
        <item x="61"/>
        <item x="134"/>
        <item x="170"/>
        <item x="13"/>
        <item x="165"/>
        <item x="151"/>
        <item x="81"/>
        <item x="79"/>
        <item x="14"/>
        <item x="190"/>
        <item x="9"/>
        <item x="88"/>
        <item x="137"/>
        <item x="35"/>
        <item x="84"/>
        <item x="54"/>
        <item x="127"/>
        <item x="41"/>
        <item x="53"/>
        <item x="158"/>
        <item x="197"/>
        <item x="107"/>
        <item x="93"/>
        <item x="71"/>
        <item x="140"/>
        <item x="171"/>
        <item x="130"/>
        <item x="21"/>
        <item x="72"/>
        <item x="160"/>
        <item x="155"/>
        <item x="39"/>
        <item x="20"/>
        <item x="0"/>
        <item x="104"/>
        <item x="2"/>
        <item x="128"/>
        <item x="97"/>
        <item x="83"/>
        <item x="69"/>
        <item x="74"/>
        <item x="193"/>
        <item x="59"/>
        <item x="144"/>
        <item x="163"/>
        <item x="34"/>
        <item x="36"/>
        <item x="37"/>
        <item x="51"/>
        <item x="77"/>
        <item x="5"/>
        <item x="47"/>
        <item x="131"/>
        <item x="176"/>
        <item x="91"/>
        <item x="89"/>
        <item x="25"/>
        <item x="117"/>
        <item x="111"/>
        <item x="7"/>
        <item x="175"/>
        <item x="129"/>
        <item x="28"/>
        <item x="15"/>
        <item x="118"/>
        <item x="76"/>
        <item x="148"/>
        <item x="22"/>
        <item x="18"/>
        <item x="45"/>
        <item x="65"/>
        <item x="139"/>
        <item x="162"/>
        <item x="105"/>
        <item x="122"/>
        <item x="38"/>
        <item x="196"/>
        <item x="125"/>
        <item x="33"/>
        <item x="31"/>
        <item x="56"/>
        <item x="102"/>
        <item x="1"/>
        <item x="44"/>
        <item x="110"/>
        <item x="178"/>
        <item x="195"/>
        <item x="120"/>
        <item x="43"/>
        <item x="174"/>
        <item x="12"/>
        <item x="199"/>
        <item x="90"/>
        <item x="4"/>
        <item x="194"/>
        <item x="64"/>
        <item x="123"/>
        <item x="11"/>
        <item x="173"/>
        <item x="109"/>
        <item x="24"/>
        <item x="156"/>
        <item x="191"/>
        <item x="113"/>
        <item x="169"/>
        <item x="133"/>
        <item x="52"/>
        <item x="145"/>
        <item x="198"/>
        <item x="167"/>
        <item x="161"/>
        <item x="146"/>
        <item x="66"/>
        <item x="152"/>
        <item x="141"/>
        <item x="154"/>
        <item x="119"/>
        <item x="187"/>
        <item x="19"/>
        <item x="94"/>
        <item x="73"/>
        <item x="136"/>
        <item x="124"/>
        <item x="17"/>
        <item x="42"/>
        <item x="150"/>
        <item x="80"/>
        <item x="164"/>
        <item x="180"/>
        <item x="85"/>
        <item x="68"/>
        <item x="32"/>
        <item x="138"/>
        <item x="57"/>
        <item x="143"/>
        <item x="87"/>
        <item x="184"/>
        <item x="75"/>
        <item x="10"/>
        <item x="62"/>
        <item x="189"/>
        <item x="147"/>
        <item x="188"/>
        <item x="142"/>
        <item x="86"/>
        <item x="186"/>
        <item x="103"/>
        <item x="157"/>
        <item x="166"/>
        <item x="82"/>
        <item x="70"/>
        <item x="132"/>
        <item x="192"/>
        <item x="172"/>
        <item x="149"/>
        <item x="114"/>
        <item x="185"/>
        <item x="92"/>
        <item x="27"/>
        <item x="159"/>
        <item x="55"/>
        <item x="3"/>
        <item x="106"/>
        <item x="182"/>
        <item x="115"/>
        <item x="181"/>
        <item x="67"/>
        <item x="153"/>
        <item x="23"/>
        <item x="50"/>
        <item x="46"/>
        <item x="168"/>
        <item x="100"/>
        <item x="179"/>
        <item x="108"/>
        <item x="96"/>
        <item x="8"/>
        <item x="112"/>
        <item x="49"/>
        <item x="101"/>
        <item x="116"/>
        <item x="63"/>
        <item x="121"/>
        <item x="6"/>
        <item x="58"/>
        <item x="16"/>
        <item x="26"/>
        <item x="40"/>
        <item x="183"/>
        <item x="177"/>
        <item x="29"/>
        <item x="99"/>
        <item x="135"/>
        <item x="30"/>
        <item x="95"/>
        <item x="126"/>
        <item x="78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Student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Gender Distribution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4:D11" firstHeaderRow="1" firstDataRow="2" firstDataCol="1"/>
  <pivotFields count="10">
    <pivotField dataField="1" compact="0" showAll="0">
      <items count="201">
        <item x="39"/>
        <item x="151"/>
        <item x="25"/>
        <item x="84"/>
        <item x="110"/>
        <item x="176"/>
        <item x="74"/>
        <item x="2"/>
        <item x="141"/>
        <item x="133"/>
        <item x="122"/>
        <item x="109"/>
        <item x="123"/>
        <item x="106"/>
        <item x="72"/>
        <item x="86"/>
        <item x="105"/>
        <item x="22"/>
        <item x="145"/>
        <item x="168"/>
        <item x="100"/>
        <item x="160"/>
        <item x="60"/>
        <item x="191"/>
        <item x="159"/>
        <item x="21"/>
        <item x="155"/>
        <item x="65"/>
        <item x="108"/>
        <item x="85"/>
        <item x="186"/>
        <item x="117"/>
        <item x="179"/>
        <item x="174"/>
        <item x="190"/>
        <item x="20"/>
        <item x="58"/>
        <item x="165"/>
        <item x="53"/>
        <item x="10"/>
        <item x="17"/>
        <item x="83"/>
        <item x="195"/>
        <item x="0"/>
        <item x="192"/>
        <item x="57"/>
        <item x="196"/>
        <item x="36"/>
        <item x="118"/>
        <item x="15"/>
        <item x="147"/>
        <item x="47"/>
        <item x="130"/>
        <item x="164"/>
        <item x="194"/>
        <item x="30"/>
        <item x="146"/>
        <item x="169"/>
        <item x="129"/>
        <item x="125"/>
        <item x="75"/>
        <item x="42"/>
        <item x="181"/>
        <item x="97"/>
        <item x="107"/>
        <item x="87"/>
        <item x="16"/>
        <item x="198"/>
        <item x="89"/>
        <item x="59"/>
        <item x="76"/>
        <item x="121"/>
        <item x="50"/>
        <item x="55"/>
        <item x="137"/>
        <item x="91"/>
        <item x="27"/>
        <item x="80"/>
        <item x="14"/>
        <item x="23"/>
        <item x="119"/>
        <item x="101"/>
        <item x="51"/>
        <item x="158"/>
        <item x="6"/>
        <item x="184"/>
        <item x="34"/>
        <item x="46"/>
        <item x="172"/>
        <item x="38"/>
        <item x="61"/>
        <item x="5"/>
        <item x="78"/>
        <item x="94"/>
        <item x="18"/>
        <item x="154"/>
        <item x="62"/>
        <item x="193"/>
        <item x="52"/>
        <item x="96"/>
        <item x="79"/>
        <item x="32"/>
        <item x="28"/>
        <item x="40"/>
        <item x="104"/>
        <item x="114"/>
        <item x="67"/>
        <item x="126"/>
        <item x="7"/>
        <item x="44"/>
        <item x="95"/>
        <item x="69"/>
        <item x="199"/>
        <item x="162"/>
        <item x="153"/>
        <item x="64"/>
        <item x="37"/>
        <item x="112"/>
        <item x="135"/>
        <item x="98"/>
        <item x="140"/>
        <item x="177"/>
        <item x="9"/>
        <item x="24"/>
        <item x="3"/>
        <item x="88"/>
        <item x="77"/>
        <item x="175"/>
        <item x="99"/>
        <item x="120"/>
        <item x="43"/>
        <item x="70"/>
        <item x="127"/>
        <item x="180"/>
        <item x="189"/>
        <item x="142"/>
        <item x="56"/>
        <item x="35"/>
        <item x="136"/>
        <item x="102"/>
        <item x="152"/>
        <item x="26"/>
        <item x="111"/>
        <item x="131"/>
        <item x="187"/>
        <item x="148"/>
        <item x="156"/>
        <item x="185"/>
        <item x="31"/>
        <item x="11"/>
        <item x="128"/>
        <item x="188"/>
        <item x="19"/>
        <item x="33"/>
        <item x="103"/>
        <item x="63"/>
        <item x="73"/>
        <item x="183"/>
        <item x="134"/>
        <item x="170"/>
        <item x="116"/>
        <item x="41"/>
        <item x="115"/>
        <item x="54"/>
        <item x="132"/>
        <item x="29"/>
        <item x="82"/>
        <item x="157"/>
        <item x="90"/>
        <item x="149"/>
        <item x="8"/>
        <item x="1"/>
        <item x="163"/>
        <item x="93"/>
        <item x="4"/>
        <item x="113"/>
        <item x="161"/>
        <item x="173"/>
        <item x="13"/>
        <item x="197"/>
        <item x="166"/>
        <item x="144"/>
        <item x="138"/>
        <item x="49"/>
        <item x="92"/>
        <item x="48"/>
        <item x="178"/>
        <item x="150"/>
        <item x="66"/>
        <item x="12"/>
        <item x="45"/>
        <item x="167"/>
        <item x="182"/>
        <item x="124"/>
        <item x="81"/>
        <item x="71"/>
        <item x="171"/>
        <item x="68"/>
        <item x="139"/>
        <item x="143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numFmtI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axis="axisRow" compact="0" showAll="0">
      <items count="6">
        <item x="4"/>
        <item x="1"/>
        <item x="3"/>
        <item x="0"/>
        <item x="2"/>
        <item t="default"/>
      </items>
    </pivotField>
    <pivotField compact="0" numFmtId="2" showAll="0">
      <items count="1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compact="0"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numFmtId="2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showAll="0">
      <items count="3">
        <item x="0"/>
        <item x="1"/>
        <item t="default"/>
      </items>
    </pivotField>
    <pivotField axis="axisCol" compact="0" multipleItemSelectionAllowed="1" showAll="0">
      <items count="3">
        <item x="1"/>
        <item x="0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Student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raduationYear" sourceName="GraduationYear">
  <pivotTables>
    <pivotTable tabId="10" name="Count Ages For Each Graduation Year"/>
  </pivotTables>
  <data>
    <tabular pivotCacheId="1">
      <items count="7">
        <i x="5" s="1"/>
        <i x="3" s="1"/>
        <i x="0" s="1"/>
        <i x="1" s="1"/>
        <i x="6" s="1"/>
        <i x="2" s="1"/>
        <i x="4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10" name="Count Ages For Each Graduation Year"/>
  </pivotTables>
  <data>
    <tabular pivotCacheId="1">
      <items count="5">
        <i x="4" s="1"/>
        <i x="1" s="1"/>
        <i x="3" s="1"/>
        <i x="0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1" sourceName="Department">
  <pivotTables>
    <pivotTable tabId="11" name="Gender Distribution"/>
  </pivotTables>
  <data>
    <tabular pivotCacheId="1">
      <items count="5">
        <i x="4" s="1"/>
        <i x="1" s="1"/>
        <i x="3" s="1"/>
        <i x="0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11" name="Gender Distribution"/>
  </pivotTables>
  <data>
    <tabular pivotCacheId="1">
      <items count="2">
        <i x="1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" sourceName="Age">
  <pivotTables>
    <pivotTable tabId="10" name="Count Ages For Each Graduation Year"/>
  </pivotTables>
  <data>
    <tabular pivotCacheId="1">
      <items count="8">
        <i x="4" s="1"/>
        <i x="0" s="1"/>
        <i x="5" s="1"/>
        <i x="7" s="1"/>
        <i x="2" s="1"/>
        <i x="1" s="1"/>
        <i x="3" s="1"/>
        <i x="6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" cache="Slicer_Age" caption="Age" rowHeight="225425"/>
  <slicer name="GraduationYear 2" cache="Slicer_GraduationYear" caption="GraduationYear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 3" cache="Slicer_Department1" caption="Department" rowHeight="225425"/>
  <slicer name="Gender 4" cache="Slicer_Gender" caption="Gender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25425"/>
  <slicer name="GraduationYear" cache="Slicer_GraduationYear" caption="GraduationYear" rowHeight="225425"/>
  <slicer name="Department 1" cache="Slicer_Department1" caption="Department" rowHeight="225425"/>
  <slicer name="Gender" cache="Slicer_Gender" caption="Gender" rowHeight="225425"/>
</slicers>
</file>

<file path=xl/tables/table1.xml><?xml version="1.0" encoding="utf-8"?>
<table xmlns="http://schemas.openxmlformats.org/spreadsheetml/2006/main" id="1" name="Students_Records" displayName="Students_Records" ref="A1:J201" totalsRowShown="0">
  <autoFilter xmlns:etc="http://www.wps.cn/officeDocument/2017/etCustomData" ref="A1:J201" etc:filterBottomFollowUsedRange="0"/>
  <tableColumns count="10">
    <tableColumn id="1" name="StudentID"/>
    <tableColumn id="2" name="Name"/>
    <tableColumn id="3" name="Age" dataDxfId="12"/>
    <tableColumn id="4" name="Email"/>
    <tableColumn id="5" name="Department"/>
    <tableColumn id="6" name="GPA" dataDxfId="13"/>
    <tableColumn id="7" name="GraduationYear" dataDxfId="14"/>
    <tableColumn id="8" name="Attendance" dataDxfId="15"/>
    <tableColumn id="9" name="Mode of Study"/>
    <tableColumn id="10" name="Gender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zoomScale="108" zoomScaleNormal="108" workbookViewId="0">
      <pane ySplit="1" topLeftCell="A2" activePane="bottomLeft" state="frozen"/>
      <selection/>
      <selection pane="bottomLeft" activeCell="H7" sqref="H7"/>
    </sheetView>
  </sheetViews>
  <sheetFormatPr defaultColWidth="9.23076923076923" defaultRowHeight="16.8"/>
  <cols>
    <col min="1" max="1" width="10.9230769230769" customWidth="1"/>
    <col min="2" max="2" width="25.2307692307692" customWidth="1"/>
    <col min="3" max="3" width="5" style="8" customWidth="1"/>
    <col min="4" max="4" width="41.1538461538462" customWidth="1"/>
    <col min="5" max="5" width="18.4615384615385" customWidth="1"/>
    <col min="6" max="6" width="6.07692307692308" style="9" customWidth="1"/>
    <col min="7" max="7" width="17.0769230769231" style="8" customWidth="1"/>
    <col min="8" max="8" width="11.8461538461538" style="9" customWidth="1"/>
    <col min="9" max="9" width="15" customWidth="1"/>
    <col min="10" max="10" width="8.23076923076923" style="15" customWidth="1"/>
  </cols>
  <sheetData>
    <row r="1" spans="1:10">
      <c r="A1" t="s">
        <v>0</v>
      </c>
      <c r="B1" t="s">
        <v>1</v>
      </c>
      <c r="C1" s="8" t="s">
        <v>2</v>
      </c>
      <c r="D1" t="s">
        <v>3</v>
      </c>
      <c r="E1" t="s">
        <v>4</v>
      </c>
      <c r="F1" s="9" t="s">
        <v>5</v>
      </c>
      <c r="G1" s="8" t="s">
        <v>6</v>
      </c>
      <c r="H1" s="9" t="s">
        <v>7</v>
      </c>
      <c r="I1" t="s">
        <v>8</v>
      </c>
      <c r="J1" s="15" t="s">
        <v>9</v>
      </c>
    </row>
    <row r="2" spans="1:10">
      <c r="A2">
        <v>3336</v>
      </c>
      <c r="B2" t="s">
        <v>10</v>
      </c>
      <c r="C2" s="8">
        <v>19</v>
      </c>
      <c r="D2" t="s">
        <v>11</v>
      </c>
      <c r="E2" t="s">
        <v>12</v>
      </c>
      <c r="F2" s="9">
        <v>3.16</v>
      </c>
      <c r="G2" s="8">
        <v>2026</v>
      </c>
      <c r="H2" s="9">
        <v>68.43</v>
      </c>
      <c r="I2" t="s">
        <v>13</v>
      </c>
      <c r="J2" s="15" t="s">
        <v>14</v>
      </c>
    </row>
    <row r="3" spans="1:10">
      <c r="A3">
        <v>8774</v>
      </c>
      <c r="B3" t="s">
        <v>15</v>
      </c>
      <c r="C3" s="8">
        <v>23</v>
      </c>
      <c r="D3" t="s">
        <v>16</v>
      </c>
      <c r="E3" t="s">
        <v>17</v>
      </c>
      <c r="F3" s="9">
        <v>3.75</v>
      </c>
      <c r="G3" s="8">
        <v>2027</v>
      </c>
      <c r="H3" s="9">
        <v>76.85</v>
      </c>
      <c r="I3" t="s">
        <v>13</v>
      </c>
      <c r="J3" s="15" t="s">
        <v>14</v>
      </c>
    </row>
    <row r="4" spans="1:10">
      <c r="A4">
        <v>1396</v>
      </c>
      <c r="B4" t="s">
        <v>18</v>
      </c>
      <c r="C4" s="8">
        <v>22</v>
      </c>
      <c r="D4" t="s">
        <v>19</v>
      </c>
      <c r="E4" t="s">
        <v>20</v>
      </c>
      <c r="F4" s="9">
        <v>2.95</v>
      </c>
      <c r="G4" s="8">
        <v>2027</v>
      </c>
      <c r="H4" s="9">
        <v>68.72</v>
      </c>
      <c r="I4" t="s">
        <v>13</v>
      </c>
      <c r="J4" s="15" t="s">
        <v>21</v>
      </c>
    </row>
    <row r="5" spans="1:10">
      <c r="A5">
        <v>6716</v>
      </c>
      <c r="B5" t="s">
        <v>22</v>
      </c>
      <c r="C5" s="8">
        <v>24</v>
      </c>
      <c r="D5" t="s">
        <v>23</v>
      </c>
      <c r="E5" t="s">
        <v>20</v>
      </c>
      <c r="F5" s="9">
        <v>3.55</v>
      </c>
      <c r="G5" s="8">
        <v>2029</v>
      </c>
      <c r="H5" s="9">
        <v>93.83</v>
      </c>
      <c r="I5" t="s">
        <v>13</v>
      </c>
      <c r="J5" s="15" t="s">
        <v>14</v>
      </c>
    </row>
    <row r="6" spans="1:10">
      <c r="A6">
        <v>8830</v>
      </c>
      <c r="B6" t="s">
        <v>24</v>
      </c>
      <c r="C6" s="8">
        <v>18</v>
      </c>
      <c r="D6" t="s">
        <v>25</v>
      </c>
      <c r="E6" t="s">
        <v>17</v>
      </c>
      <c r="F6" s="9">
        <v>2.29</v>
      </c>
      <c r="G6" s="8">
        <v>2025</v>
      </c>
      <c r="H6" s="9">
        <v>78.25</v>
      </c>
      <c r="I6" t="s">
        <v>13</v>
      </c>
      <c r="J6" s="15" t="s">
        <v>21</v>
      </c>
    </row>
    <row r="7" spans="1:10">
      <c r="A7">
        <v>5305</v>
      </c>
      <c r="B7" t="s">
        <v>26</v>
      </c>
      <c r="C7" s="8">
        <v>23</v>
      </c>
      <c r="D7" t="s">
        <v>27</v>
      </c>
      <c r="E7" t="s">
        <v>12</v>
      </c>
      <c r="F7" s="9">
        <v>3.3</v>
      </c>
      <c r="G7" s="8">
        <v>2029</v>
      </c>
      <c r="H7" s="9">
        <v>71.19</v>
      </c>
      <c r="I7" t="s">
        <v>13</v>
      </c>
      <c r="J7" s="15" t="s">
        <v>14</v>
      </c>
    </row>
    <row r="8" spans="1:10">
      <c r="A8">
        <v>5048</v>
      </c>
      <c r="B8" t="s">
        <v>28</v>
      </c>
      <c r="C8" s="8">
        <v>20</v>
      </c>
      <c r="D8" t="s">
        <v>29</v>
      </c>
      <c r="E8" t="s">
        <v>17</v>
      </c>
      <c r="F8" s="9">
        <v>2.44</v>
      </c>
      <c r="G8" s="8">
        <v>2029</v>
      </c>
      <c r="H8" s="9">
        <v>97.32</v>
      </c>
      <c r="I8" t="s">
        <v>13</v>
      </c>
      <c r="J8" s="15" t="s">
        <v>14</v>
      </c>
    </row>
    <row r="9" spans="1:10">
      <c r="A9">
        <v>5986</v>
      </c>
      <c r="B9" t="s">
        <v>30</v>
      </c>
      <c r="C9" s="8">
        <v>20</v>
      </c>
      <c r="D9" t="s">
        <v>31</v>
      </c>
      <c r="E9" t="s">
        <v>12</v>
      </c>
      <c r="F9" s="9">
        <v>3.44</v>
      </c>
      <c r="G9" s="8">
        <v>2025</v>
      </c>
      <c r="H9" s="9">
        <v>72.57</v>
      </c>
      <c r="I9" t="s">
        <v>13</v>
      </c>
      <c r="J9" s="15" t="s">
        <v>21</v>
      </c>
    </row>
    <row r="10" spans="1:10">
      <c r="A10">
        <v>8721</v>
      </c>
      <c r="B10" t="s">
        <v>32</v>
      </c>
      <c r="C10" s="8">
        <v>25</v>
      </c>
      <c r="D10" t="s">
        <v>33</v>
      </c>
      <c r="E10" t="s">
        <v>34</v>
      </c>
      <c r="F10" s="9">
        <v>3.27</v>
      </c>
      <c r="G10" s="8">
        <v>2027</v>
      </c>
      <c r="H10" s="9">
        <v>96.39</v>
      </c>
      <c r="I10" t="s">
        <v>13</v>
      </c>
      <c r="J10" s="15" t="s">
        <v>14</v>
      </c>
    </row>
    <row r="11" spans="1:10">
      <c r="A11">
        <v>6622</v>
      </c>
      <c r="B11" t="s">
        <v>35</v>
      </c>
      <c r="C11" s="8">
        <v>18</v>
      </c>
      <c r="D11" t="s">
        <v>36</v>
      </c>
      <c r="E11" t="s">
        <v>20</v>
      </c>
      <c r="F11" s="9">
        <v>3.09</v>
      </c>
      <c r="G11" s="8">
        <v>2030</v>
      </c>
      <c r="H11" s="9">
        <v>61.74</v>
      </c>
      <c r="I11" t="s">
        <v>13</v>
      </c>
      <c r="J11" s="15" t="s">
        <v>21</v>
      </c>
    </row>
    <row r="12" spans="1:10">
      <c r="A12">
        <v>3254</v>
      </c>
      <c r="B12" t="s">
        <v>37</v>
      </c>
      <c r="C12" s="8">
        <v>20</v>
      </c>
      <c r="D12" t="s">
        <v>38</v>
      </c>
      <c r="E12" t="s">
        <v>20</v>
      </c>
      <c r="F12" s="9">
        <v>3.42</v>
      </c>
      <c r="G12" s="8">
        <v>2026</v>
      </c>
      <c r="H12" s="9">
        <v>88.28</v>
      </c>
      <c r="I12" t="s">
        <v>13</v>
      </c>
      <c r="J12" s="15" t="s">
        <v>14</v>
      </c>
    </row>
    <row r="13" spans="1:10">
      <c r="A13">
        <v>8021</v>
      </c>
      <c r="B13" t="s">
        <v>39</v>
      </c>
      <c r="C13" s="8">
        <v>20</v>
      </c>
      <c r="D13" t="s">
        <v>40</v>
      </c>
      <c r="E13" t="s">
        <v>17</v>
      </c>
      <c r="F13" s="9">
        <v>2.33</v>
      </c>
      <c r="G13" s="8">
        <v>2027</v>
      </c>
      <c r="H13" s="9">
        <v>79.36</v>
      </c>
      <c r="I13" t="s">
        <v>13</v>
      </c>
      <c r="J13" s="15" t="s">
        <v>14</v>
      </c>
    </row>
    <row r="14" spans="1:10">
      <c r="A14">
        <v>9477</v>
      </c>
      <c r="B14" t="s">
        <v>41</v>
      </c>
      <c r="C14" s="8">
        <v>22</v>
      </c>
      <c r="D14" t="s">
        <v>42</v>
      </c>
      <c r="E14" t="s">
        <v>12</v>
      </c>
      <c r="F14" s="9">
        <v>3.76</v>
      </c>
      <c r="G14" s="8">
        <v>2025</v>
      </c>
      <c r="H14" s="9">
        <v>77.77</v>
      </c>
      <c r="I14" t="s">
        <v>13</v>
      </c>
      <c r="J14" s="15" t="s">
        <v>14</v>
      </c>
    </row>
    <row r="15" spans="1:10">
      <c r="A15">
        <v>9144</v>
      </c>
      <c r="B15" t="s">
        <v>43</v>
      </c>
      <c r="C15" s="8">
        <v>20</v>
      </c>
      <c r="D15" t="s">
        <v>44</v>
      </c>
      <c r="E15" t="s">
        <v>34</v>
      </c>
      <c r="F15" s="9">
        <v>2.02</v>
      </c>
      <c r="G15" s="8">
        <v>2025</v>
      </c>
      <c r="H15" s="9">
        <v>61.45</v>
      </c>
      <c r="I15" t="s">
        <v>13</v>
      </c>
      <c r="J15" s="15" t="s">
        <v>14</v>
      </c>
    </row>
    <row r="16" spans="1:10">
      <c r="A16">
        <v>4854</v>
      </c>
      <c r="B16" t="s">
        <v>45</v>
      </c>
      <c r="C16" s="8">
        <v>23</v>
      </c>
      <c r="D16" t="s">
        <v>46</v>
      </c>
      <c r="E16" t="s">
        <v>34</v>
      </c>
      <c r="F16" s="9">
        <v>3.35</v>
      </c>
      <c r="G16" s="8">
        <v>2030</v>
      </c>
      <c r="H16" s="9">
        <v>61.63</v>
      </c>
      <c r="I16" t="s">
        <v>13</v>
      </c>
      <c r="J16" s="15" t="s">
        <v>21</v>
      </c>
    </row>
    <row r="17" spans="1:10">
      <c r="A17">
        <v>3690</v>
      </c>
      <c r="B17" t="s">
        <v>47</v>
      </c>
      <c r="C17" s="8">
        <v>24</v>
      </c>
      <c r="D17" t="s">
        <v>48</v>
      </c>
      <c r="E17" t="s">
        <v>20</v>
      </c>
      <c r="F17" s="9">
        <v>3.21</v>
      </c>
      <c r="G17" s="8">
        <v>2029</v>
      </c>
      <c r="H17" s="9">
        <v>73.31</v>
      </c>
      <c r="I17" t="s">
        <v>13</v>
      </c>
      <c r="J17" s="15" t="s">
        <v>21</v>
      </c>
    </row>
    <row r="18" spans="1:10">
      <c r="A18">
        <v>4462</v>
      </c>
      <c r="B18" t="s">
        <v>49</v>
      </c>
      <c r="C18" s="8">
        <v>24</v>
      </c>
      <c r="D18" t="s">
        <v>50</v>
      </c>
      <c r="E18" t="s">
        <v>34</v>
      </c>
      <c r="F18" s="9">
        <v>3.92</v>
      </c>
      <c r="G18" s="8">
        <v>2027</v>
      </c>
      <c r="H18" s="9">
        <v>97.88</v>
      </c>
      <c r="I18" t="s">
        <v>13</v>
      </c>
      <c r="J18" s="15" t="s">
        <v>21</v>
      </c>
    </row>
    <row r="19" spans="1:10">
      <c r="A19">
        <v>3255</v>
      </c>
      <c r="B19" t="s">
        <v>51</v>
      </c>
      <c r="C19" s="8">
        <v>22</v>
      </c>
      <c r="D19" t="s">
        <v>52</v>
      </c>
      <c r="E19" t="s">
        <v>17</v>
      </c>
      <c r="F19" s="9">
        <v>3.42</v>
      </c>
      <c r="G19" s="8">
        <v>2024</v>
      </c>
      <c r="H19" s="9">
        <v>84.71</v>
      </c>
      <c r="I19" t="s">
        <v>13</v>
      </c>
      <c r="J19" s="15" t="s">
        <v>14</v>
      </c>
    </row>
    <row r="20" spans="1:10">
      <c r="A20">
        <v>5446</v>
      </c>
      <c r="B20" t="s">
        <v>53</v>
      </c>
      <c r="C20" s="8">
        <v>21</v>
      </c>
      <c r="D20" t="s">
        <v>54</v>
      </c>
      <c r="E20" t="s">
        <v>34</v>
      </c>
      <c r="F20" s="9">
        <v>3.43</v>
      </c>
      <c r="G20" s="8">
        <v>2027</v>
      </c>
      <c r="H20" s="9">
        <v>74.75</v>
      </c>
      <c r="I20" t="s">
        <v>55</v>
      </c>
      <c r="J20" s="15" t="s">
        <v>14</v>
      </c>
    </row>
    <row r="21" spans="1:10">
      <c r="A21">
        <v>8125</v>
      </c>
      <c r="B21" t="s">
        <v>56</v>
      </c>
      <c r="C21" s="8">
        <v>23</v>
      </c>
      <c r="D21" t="s">
        <v>57</v>
      </c>
      <c r="E21" t="s">
        <v>20</v>
      </c>
      <c r="F21" s="9">
        <v>2.05</v>
      </c>
      <c r="G21" s="8">
        <v>2025</v>
      </c>
      <c r="H21" s="9">
        <v>84.48</v>
      </c>
      <c r="I21" t="s">
        <v>55</v>
      </c>
      <c r="J21" s="15" t="s">
        <v>14</v>
      </c>
    </row>
    <row r="22" spans="1:10">
      <c r="A22">
        <v>3052</v>
      </c>
      <c r="B22" t="s">
        <v>58</v>
      </c>
      <c r="C22" s="8">
        <v>18</v>
      </c>
      <c r="D22" t="s">
        <v>59</v>
      </c>
      <c r="E22" t="s">
        <v>34</v>
      </c>
      <c r="F22" s="9">
        <v>2.33</v>
      </c>
      <c r="G22" s="8">
        <v>2025</v>
      </c>
      <c r="H22" s="9">
        <v>68.25</v>
      </c>
      <c r="I22" t="s">
        <v>13</v>
      </c>
      <c r="J22" s="15" t="s">
        <v>14</v>
      </c>
    </row>
    <row r="23" spans="1:10">
      <c r="A23">
        <v>2602</v>
      </c>
      <c r="B23" t="s">
        <v>60</v>
      </c>
      <c r="C23" s="8">
        <v>23</v>
      </c>
      <c r="D23" t="s">
        <v>61</v>
      </c>
      <c r="E23" t="s">
        <v>20</v>
      </c>
      <c r="F23" s="9">
        <v>3.68</v>
      </c>
      <c r="G23" s="8">
        <v>2028</v>
      </c>
      <c r="H23" s="9">
        <v>66.6</v>
      </c>
      <c r="I23" t="s">
        <v>13</v>
      </c>
      <c r="J23" s="15" t="s">
        <v>21</v>
      </c>
    </row>
    <row r="24" spans="1:10">
      <c r="A24">
        <v>1866</v>
      </c>
      <c r="B24" t="s">
        <v>62</v>
      </c>
      <c r="C24" s="8">
        <v>25</v>
      </c>
      <c r="D24" t="s">
        <v>63</v>
      </c>
      <c r="E24" t="s">
        <v>12</v>
      </c>
      <c r="F24" s="9">
        <v>3.84</v>
      </c>
      <c r="G24" s="8">
        <v>2028</v>
      </c>
      <c r="H24" s="9">
        <v>74.47</v>
      </c>
      <c r="I24" t="s">
        <v>13</v>
      </c>
      <c r="J24" s="15" t="s">
        <v>21</v>
      </c>
    </row>
    <row r="25" spans="1:10">
      <c r="A25">
        <v>4908</v>
      </c>
      <c r="B25" t="s">
        <v>64</v>
      </c>
      <c r="C25" s="8">
        <v>21</v>
      </c>
      <c r="D25" t="s">
        <v>65</v>
      </c>
      <c r="E25" t="s">
        <v>17</v>
      </c>
      <c r="F25" s="9">
        <v>3.82</v>
      </c>
      <c r="G25" s="8">
        <v>2027</v>
      </c>
      <c r="H25" s="9">
        <v>94.53</v>
      </c>
      <c r="I25" t="s">
        <v>13</v>
      </c>
      <c r="J25" s="15" t="s">
        <v>14</v>
      </c>
    </row>
    <row r="26" spans="1:10">
      <c r="A26">
        <v>6711</v>
      </c>
      <c r="B26" t="s">
        <v>66</v>
      </c>
      <c r="C26" s="8">
        <v>22</v>
      </c>
      <c r="D26" t="s">
        <v>67</v>
      </c>
      <c r="E26" t="s">
        <v>34</v>
      </c>
      <c r="F26" s="9">
        <v>2.99</v>
      </c>
      <c r="G26" s="8">
        <v>2026</v>
      </c>
      <c r="H26" s="9">
        <v>80.38</v>
      </c>
      <c r="I26" t="s">
        <v>13</v>
      </c>
      <c r="J26" s="15" t="s">
        <v>14</v>
      </c>
    </row>
    <row r="27" spans="1:10">
      <c r="A27">
        <v>1165</v>
      </c>
      <c r="B27" t="s">
        <v>68</v>
      </c>
      <c r="C27" s="8">
        <v>22</v>
      </c>
      <c r="D27" t="s">
        <v>69</v>
      </c>
      <c r="E27" t="s">
        <v>70</v>
      </c>
      <c r="F27" s="9">
        <v>2.49</v>
      </c>
      <c r="G27" s="8">
        <v>2024</v>
      </c>
      <c r="H27" s="9">
        <v>71.88</v>
      </c>
      <c r="I27" t="s">
        <v>13</v>
      </c>
      <c r="J27" s="15" t="s">
        <v>14</v>
      </c>
    </row>
    <row r="28" spans="1:10">
      <c r="A28">
        <v>7657</v>
      </c>
      <c r="B28" t="s">
        <v>71</v>
      </c>
      <c r="C28" s="8">
        <v>19</v>
      </c>
      <c r="D28" t="s">
        <v>72</v>
      </c>
      <c r="E28" t="s">
        <v>12</v>
      </c>
      <c r="F28" s="9">
        <v>3.16</v>
      </c>
      <c r="G28" s="8">
        <v>2024</v>
      </c>
      <c r="H28" s="9">
        <v>98.01</v>
      </c>
      <c r="I28" t="s">
        <v>13</v>
      </c>
      <c r="J28" s="15" t="s">
        <v>21</v>
      </c>
    </row>
    <row r="29" spans="1:10">
      <c r="A29">
        <v>4776</v>
      </c>
      <c r="B29" t="s">
        <v>73</v>
      </c>
      <c r="C29" s="8">
        <v>24</v>
      </c>
      <c r="D29" t="s">
        <v>74</v>
      </c>
      <c r="E29" t="s">
        <v>20</v>
      </c>
      <c r="F29" s="9">
        <v>3.56</v>
      </c>
      <c r="G29" s="8">
        <v>2026</v>
      </c>
      <c r="H29" s="9">
        <v>92.64</v>
      </c>
      <c r="I29" t="s">
        <v>13</v>
      </c>
      <c r="J29" s="15" t="s">
        <v>21</v>
      </c>
    </row>
    <row r="30" spans="1:10">
      <c r="A30">
        <v>5711</v>
      </c>
      <c r="B30" t="s">
        <v>75</v>
      </c>
      <c r="C30" s="8">
        <v>25</v>
      </c>
      <c r="D30" t="s">
        <v>76</v>
      </c>
      <c r="E30" t="s">
        <v>20</v>
      </c>
      <c r="F30" s="9">
        <v>3.58</v>
      </c>
      <c r="G30" s="8">
        <v>2030</v>
      </c>
      <c r="H30" s="9">
        <v>72.92</v>
      </c>
      <c r="I30" t="s">
        <v>13</v>
      </c>
      <c r="J30" s="15" t="s">
        <v>21</v>
      </c>
    </row>
    <row r="31" spans="1:10">
      <c r="A31">
        <v>8511</v>
      </c>
      <c r="B31" t="s">
        <v>77</v>
      </c>
      <c r="C31" s="8">
        <v>19</v>
      </c>
      <c r="D31" t="s">
        <v>78</v>
      </c>
      <c r="E31" t="s">
        <v>17</v>
      </c>
      <c r="F31" s="9">
        <v>2.82</v>
      </c>
      <c r="G31" s="8">
        <v>2024</v>
      </c>
      <c r="H31" s="9">
        <v>98.88</v>
      </c>
      <c r="I31" t="s">
        <v>13</v>
      </c>
      <c r="J31" s="15" t="s">
        <v>21</v>
      </c>
    </row>
    <row r="32" spans="1:10">
      <c r="A32">
        <v>4009</v>
      </c>
      <c r="B32" t="s">
        <v>79</v>
      </c>
      <c r="C32" s="8">
        <v>21</v>
      </c>
      <c r="D32" t="s">
        <v>80</v>
      </c>
      <c r="E32" t="s">
        <v>20</v>
      </c>
      <c r="F32" s="9">
        <v>2.98</v>
      </c>
      <c r="G32" s="8">
        <v>2029</v>
      </c>
      <c r="H32" s="9">
        <v>99.49</v>
      </c>
      <c r="I32" t="s">
        <v>13</v>
      </c>
      <c r="J32" s="15" t="s">
        <v>21</v>
      </c>
    </row>
    <row r="33" spans="1:10">
      <c r="A33">
        <v>7998</v>
      </c>
      <c r="B33" t="s">
        <v>81</v>
      </c>
      <c r="C33" s="8">
        <v>24</v>
      </c>
      <c r="D33" t="s">
        <v>82</v>
      </c>
      <c r="E33" t="s">
        <v>17</v>
      </c>
      <c r="F33" s="9">
        <v>3.21</v>
      </c>
      <c r="G33" s="8">
        <v>2030</v>
      </c>
      <c r="H33" s="9">
        <v>76.35</v>
      </c>
      <c r="I33" t="s">
        <v>13</v>
      </c>
      <c r="J33" s="15" t="s">
        <v>21</v>
      </c>
    </row>
    <row r="34" spans="1:10">
      <c r="A34">
        <v>5676</v>
      </c>
      <c r="B34" t="s">
        <v>83</v>
      </c>
      <c r="C34" s="8">
        <v>22</v>
      </c>
      <c r="D34" t="s">
        <v>84</v>
      </c>
      <c r="E34" t="s">
        <v>17</v>
      </c>
      <c r="F34" s="9">
        <v>2.15</v>
      </c>
      <c r="G34" s="8">
        <v>2030</v>
      </c>
      <c r="H34" s="9">
        <v>86.24</v>
      </c>
      <c r="I34" t="s">
        <v>55</v>
      </c>
      <c r="J34" s="15" t="s">
        <v>21</v>
      </c>
    </row>
    <row r="35" spans="1:10">
      <c r="A35">
        <v>8134</v>
      </c>
      <c r="B35" t="s">
        <v>85</v>
      </c>
      <c r="C35" s="8">
        <v>19</v>
      </c>
      <c r="D35" t="s">
        <v>86</v>
      </c>
      <c r="E35" t="s">
        <v>34</v>
      </c>
      <c r="F35" s="9">
        <v>2.73</v>
      </c>
      <c r="G35" s="8">
        <v>2030</v>
      </c>
      <c r="H35" s="9">
        <v>76.23</v>
      </c>
      <c r="I35" t="s">
        <v>13</v>
      </c>
      <c r="J35" s="15" t="s">
        <v>21</v>
      </c>
    </row>
    <row r="36" spans="1:10">
      <c r="A36">
        <v>5119</v>
      </c>
      <c r="B36" t="s">
        <v>87</v>
      </c>
      <c r="C36" s="8">
        <v>25</v>
      </c>
      <c r="D36" t="s">
        <v>88</v>
      </c>
      <c r="E36" t="s">
        <v>20</v>
      </c>
      <c r="F36" s="9">
        <v>2.92</v>
      </c>
      <c r="G36" s="8">
        <v>2024</v>
      </c>
      <c r="H36" s="9">
        <v>70.29</v>
      </c>
      <c r="I36" t="s">
        <v>13</v>
      </c>
      <c r="J36" s="15" t="s">
        <v>21</v>
      </c>
    </row>
    <row r="37" spans="1:10">
      <c r="A37">
        <v>7304</v>
      </c>
      <c r="B37" t="s">
        <v>89</v>
      </c>
      <c r="C37" s="8">
        <v>25</v>
      </c>
      <c r="D37" t="s">
        <v>90</v>
      </c>
      <c r="E37" t="s">
        <v>12</v>
      </c>
      <c r="F37" s="9">
        <v>3.51</v>
      </c>
      <c r="G37" s="8">
        <v>2024</v>
      </c>
      <c r="H37" s="9">
        <v>63.31</v>
      </c>
      <c r="I37" t="s">
        <v>13</v>
      </c>
      <c r="J37" s="15" t="s">
        <v>21</v>
      </c>
    </row>
    <row r="38" spans="1:10">
      <c r="A38">
        <v>3663</v>
      </c>
      <c r="B38" t="s">
        <v>91</v>
      </c>
      <c r="C38" s="8">
        <v>19</v>
      </c>
      <c r="D38" t="s">
        <v>92</v>
      </c>
      <c r="E38" t="s">
        <v>70</v>
      </c>
      <c r="F38" s="9">
        <v>2.75</v>
      </c>
      <c r="G38" s="8">
        <v>2028</v>
      </c>
      <c r="H38" s="9">
        <v>70.54</v>
      </c>
      <c r="I38" t="s">
        <v>13</v>
      </c>
      <c r="J38" s="15" t="s">
        <v>14</v>
      </c>
    </row>
    <row r="39" spans="1:10">
      <c r="A39">
        <v>6423</v>
      </c>
      <c r="B39" t="s">
        <v>93</v>
      </c>
      <c r="C39" s="8">
        <v>22</v>
      </c>
      <c r="D39" t="s">
        <v>94</v>
      </c>
      <c r="E39" t="s">
        <v>17</v>
      </c>
      <c r="F39" s="9">
        <v>3.26</v>
      </c>
      <c r="G39" s="8">
        <v>2028</v>
      </c>
      <c r="H39" s="9">
        <v>70.86</v>
      </c>
      <c r="I39" t="s">
        <v>13</v>
      </c>
      <c r="J39" s="15" t="s">
        <v>14</v>
      </c>
    </row>
    <row r="40" spans="1:10">
      <c r="A40">
        <v>5155</v>
      </c>
      <c r="B40" t="s">
        <v>95</v>
      </c>
      <c r="C40" s="8">
        <v>24</v>
      </c>
      <c r="D40" t="s">
        <v>96</v>
      </c>
      <c r="E40" t="s">
        <v>17</v>
      </c>
      <c r="F40" s="9">
        <v>3.74</v>
      </c>
      <c r="G40" s="8">
        <v>2024</v>
      </c>
      <c r="H40" s="9">
        <v>75.95</v>
      </c>
      <c r="I40" t="s">
        <v>13</v>
      </c>
      <c r="J40" s="15" t="s">
        <v>14</v>
      </c>
    </row>
    <row r="41" spans="1:10">
      <c r="A41">
        <v>1066</v>
      </c>
      <c r="B41" t="s">
        <v>97</v>
      </c>
      <c r="C41" s="8">
        <v>19</v>
      </c>
      <c r="D41" t="s">
        <v>98</v>
      </c>
      <c r="E41" t="s">
        <v>70</v>
      </c>
      <c r="F41" s="9">
        <v>3.26</v>
      </c>
      <c r="G41" s="8">
        <v>2028</v>
      </c>
      <c r="H41" s="9">
        <v>67.4</v>
      </c>
      <c r="I41" t="s">
        <v>13</v>
      </c>
      <c r="J41" s="15" t="s">
        <v>14</v>
      </c>
    </row>
    <row r="42" spans="1:10">
      <c r="A42">
        <v>5773</v>
      </c>
      <c r="B42" t="s">
        <v>99</v>
      </c>
      <c r="C42" s="8">
        <v>24</v>
      </c>
      <c r="D42" t="s">
        <v>100</v>
      </c>
      <c r="E42" t="s">
        <v>20</v>
      </c>
      <c r="F42" s="9">
        <v>2.37</v>
      </c>
      <c r="G42" s="8">
        <v>2024</v>
      </c>
      <c r="H42" s="9">
        <v>98.15</v>
      </c>
      <c r="I42" t="s">
        <v>13</v>
      </c>
      <c r="J42" s="15" t="s">
        <v>14</v>
      </c>
    </row>
    <row r="43" spans="1:10">
      <c r="A43">
        <v>8417</v>
      </c>
      <c r="B43" t="s">
        <v>101</v>
      </c>
      <c r="C43" s="8">
        <v>19</v>
      </c>
      <c r="D43" t="s">
        <v>102</v>
      </c>
      <c r="E43" t="s">
        <v>12</v>
      </c>
      <c r="F43" s="9">
        <v>2.67</v>
      </c>
      <c r="G43" s="8">
        <v>2027</v>
      </c>
      <c r="H43" s="9">
        <v>64.12</v>
      </c>
      <c r="I43" t="s">
        <v>13</v>
      </c>
      <c r="J43" s="15" t="s">
        <v>14</v>
      </c>
    </row>
    <row r="44" spans="1:10">
      <c r="A44">
        <v>4235</v>
      </c>
      <c r="B44" t="s">
        <v>103</v>
      </c>
      <c r="C44" s="8">
        <v>22</v>
      </c>
      <c r="D44" t="s">
        <v>104</v>
      </c>
      <c r="E44" t="s">
        <v>12</v>
      </c>
      <c r="F44" s="9">
        <v>2.02</v>
      </c>
      <c r="G44" s="8">
        <v>2028</v>
      </c>
      <c r="H44" s="9">
        <v>85.01</v>
      </c>
      <c r="I44" t="s">
        <v>13</v>
      </c>
      <c r="J44" s="15" t="s">
        <v>14</v>
      </c>
    </row>
    <row r="45" spans="1:10">
      <c r="A45">
        <v>7002</v>
      </c>
      <c r="B45" t="s">
        <v>105</v>
      </c>
      <c r="C45" s="8">
        <v>18</v>
      </c>
      <c r="D45" t="s">
        <v>106</v>
      </c>
      <c r="E45" t="s">
        <v>17</v>
      </c>
      <c r="F45" s="9">
        <v>2.7</v>
      </c>
      <c r="G45" s="8">
        <v>2028</v>
      </c>
      <c r="H45" s="9">
        <v>77.67</v>
      </c>
      <c r="I45" t="s">
        <v>13</v>
      </c>
      <c r="J45" s="15" t="s">
        <v>14</v>
      </c>
    </row>
    <row r="46" spans="1:10">
      <c r="A46">
        <v>5998</v>
      </c>
      <c r="B46" t="s">
        <v>107</v>
      </c>
      <c r="C46" s="8">
        <v>18</v>
      </c>
      <c r="D46" t="s">
        <v>108</v>
      </c>
      <c r="E46" t="s">
        <v>34</v>
      </c>
      <c r="F46" s="9">
        <v>3.5</v>
      </c>
      <c r="G46" s="8">
        <v>2030</v>
      </c>
      <c r="H46" s="9">
        <v>76.94</v>
      </c>
      <c r="I46" t="s">
        <v>13</v>
      </c>
      <c r="J46" s="15" t="s">
        <v>14</v>
      </c>
    </row>
    <row r="47" spans="1:10">
      <c r="A47">
        <v>9661</v>
      </c>
      <c r="B47" t="s">
        <v>109</v>
      </c>
      <c r="C47" s="8">
        <v>18</v>
      </c>
      <c r="D47" t="s">
        <v>110</v>
      </c>
      <c r="E47" t="s">
        <v>17</v>
      </c>
      <c r="F47" s="9">
        <v>3.6</v>
      </c>
      <c r="G47" s="8">
        <v>2027</v>
      </c>
      <c r="H47" s="9">
        <v>74.88</v>
      </c>
      <c r="I47" t="s">
        <v>13</v>
      </c>
      <c r="J47" s="15" t="s">
        <v>14</v>
      </c>
    </row>
    <row r="48" spans="1:10">
      <c r="A48">
        <v>5144</v>
      </c>
      <c r="B48" t="s">
        <v>111</v>
      </c>
      <c r="C48" s="8">
        <v>20</v>
      </c>
      <c r="D48" t="s">
        <v>112</v>
      </c>
      <c r="E48" t="s">
        <v>70</v>
      </c>
      <c r="F48" s="9">
        <v>3.47</v>
      </c>
      <c r="G48" s="8">
        <v>2029</v>
      </c>
      <c r="H48" s="9">
        <v>94.73</v>
      </c>
      <c r="I48" t="s">
        <v>13</v>
      </c>
      <c r="J48" s="15" t="s">
        <v>14</v>
      </c>
    </row>
    <row r="49" spans="1:10">
      <c r="A49">
        <v>3719</v>
      </c>
      <c r="B49" t="s">
        <v>113</v>
      </c>
      <c r="C49" s="8">
        <v>25</v>
      </c>
      <c r="D49" t="s">
        <v>114</v>
      </c>
      <c r="E49" t="s">
        <v>34</v>
      </c>
      <c r="F49" s="9">
        <v>3.05</v>
      </c>
      <c r="G49" s="8">
        <v>2030</v>
      </c>
      <c r="H49" s="9">
        <v>71.22</v>
      </c>
      <c r="I49" t="s">
        <v>13</v>
      </c>
      <c r="J49" s="15" t="s">
        <v>21</v>
      </c>
    </row>
    <row r="50" spans="1:10">
      <c r="A50">
        <v>9310</v>
      </c>
      <c r="B50" t="s">
        <v>115</v>
      </c>
      <c r="C50" s="8">
        <v>25</v>
      </c>
      <c r="D50" t="s">
        <v>116</v>
      </c>
      <c r="E50" t="s">
        <v>20</v>
      </c>
      <c r="F50" s="9">
        <v>3.06</v>
      </c>
      <c r="G50" s="8">
        <v>2025</v>
      </c>
      <c r="H50" s="9">
        <v>60.82</v>
      </c>
      <c r="I50" t="s">
        <v>13</v>
      </c>
      <c r="J50" s="15" t="s">
        <v>14</v>
      </c>
    </row>
    <row r="51" spans="1:10">
      <c r="A51">
        <v>9271</v>
      </c>
      <c r="B51" t="s">
        <v>117</v>
      </c>
      <c r="C51" s="8">
        <v>19</v>
      </c>
      <c r="D51" t="s">
        <v>118</v>
      </c>
      <c r="E51" t="s">
        <v>17</v>
      </c>
      <c r="F51" s="9">
        <v>3.94</v>
      </c>
      <c r="G51" s="8">
        <v>2030</v>
      </c>
      <c r="H51" s="9">
        <v>96.72</v>
      </c>
      <c r="I51" t="s">
        <v>13</v>
      </c>
      <c r="J51" s="15" t="s">
        <v>21</v>
      </c>
    </row>
    <row r="52" spans="1:10">
      <c r="A52">
        <v>4603</v>
      </c>
      <c r="B52" t="s">
        <v>119</v>
      </c>
      <c r="C52" s="8">
        <v>22</v>
      </c>
      <c r="D52" t="s">
        <v>120</v>
      </c>
      <c r="E52" t="s">
        <v>12</v>
      </c>
      <c r="F52" s="9">
        <v>2.13</v>
      </c>
      <c r="G52" s="8">
        <v>2030</v>
      </c>
      <c r="H52" s="9">
        <v>94.58</v>
      </c>
      <c r="I52" t="s">
        <v>13</v>
      </c>
      <c r="J52" s="15" t="s">
        <v>14</v>
      </c>
    </row>
    <row r="53" spans="1:10">
      <c r="A53">
        <v>5001</v>
      </c>
      <c r="B53" t="s">
        <v>121</v>
      </c>
      <c r="C53" s="8">
        <v>23</v>
      </c>
      <c r="D53" t="s">
        <v>122</v>
      </c>
      <c r="E53" t="s">
        <v>17</v>
      </c>
      <c r="F53" s="9">
        <v>3.64</v>
      </c>
      <c r="G53" s="8">
        <v>2025</v>
      </c>
      <c r="H53" s="9">
        <v>71.08</v>
      </c>
      <c r="I53" t="s">
        <v>13</v>
      </c>
      <c r="J53" s="15" t="s">
        <v>21</v>
      </c>
    </row>
    <row r="54" spans="1:10">
      <c r="A54">
        <v>5618</v>
      </c>
      <c r="B54" t="s">
        <v>123</v>
      </c>
      <c r="C54" s="8">
        <v>22</v>
      </c>
      <c r="D54" t="s">
        <v>124</v>
      </c>
      <c r="E54" t="s">
        <v>20</v>
      </c>
      <c r="F54" s="9">
        <v>3.56</v>
      </c>
      <c r="G54" s="8">
        <v>2027</v>
      </c>
      <c r="H54" s="9">
        <v>80.94</v>
      </c>
      <c r="I54" t="s">
        <v>13</v>
      </c>
      <c r="J54" s="15" t="s">
        <v>21</v>
      </c>
    </row>
    <row r="55" spans="1:10">
      <c r="A55">
        <v>3205</v>
      </c>
      <c r="B55" t="s">
        <v>125</v>
      </c>
      <c r="C55" s="8">
        <v>20</v>
      </c>
      <c r="D55" t="s">
        <v>126</v>
      </c>
      <c r="E55" t="s">
        <v>17</v>
      </c>
      <c r="F55" s="9">
        <v>3.16</v>
      </c>
      <c r="G55" s="8">
        <v>2029</v>
      </c>
      <c r="H55" s="9">
        <v>64.36</v>
      </c>
      <c r="I55" t="s">
        <v>13</v>
      </c>
      <c r="J55" s="15" t="s">
        <v>14</v>
      </c>
    </row>
    <row r="56" spans="1:10">
      <c r="A56">
        <v>8431</v>
      </c>
      <c r="B56" t="s">
        <v>127</v>
      </c>
      <c r="C56" s="8">
        <v>25</v>
      </c>
      <c r="D56" t="s">
        <v>128</v>
      </c>
      <c r="E56" t="s">
        <v>17</v>
      </c>
      <c r="F56" s="9">
        <v>3.56</v>
      </c>
      <c r="G56" s="8">
        <v>2030</v>
      </c>
      <c r="H56" s="9">
        <v>63.74</v>
      </c>
      <c r="I56" t="s">
        <v>13</v>
      </c>
      <c r="J56" s="15" t="s">
        <v>21</v>
      </c>
    </row>
    <row r="57" spans="1:10">
      <c r="A57">
        <v>4604</v>
      </c>
      <c r="B57" t="s">
        <v>129</v>
      </c>
      <c r="C57" s="8">
        <v>19</v>
      </c>
      <c r="D57" t="s">
        <v>130</v>
      </c>
      <c r="E57" t="s">
        <v>20</v>
      </c>
      <c r="F57" s="9">
        <v>2.81</v>
      </c>
      <c r="G57" s="8">
        <v>2025</v>
      </c>
      <c r="H57" s="9">
        <v>93.5</v>
      </c>
      <c r="I57" t="s">
        <v>13</v>
      </c>
      <c r="J57" s="15" t="s">
        <v>21</v>
      </c>
    </row>
    <row r="58" spans="1:10">
      <c r="A58">
        <v>7287</v>
      </c>
      <c r="B58" t="s">
        <v>131</v>
      </c>
      <c r="C58" s="8">
        <v>23</v>
      </c>
      <c r="D58" t="s">
        <v>132</v>
      </c>
      <c r="E58" t="s">
        <v>17</v>
      </c>
      <c r="F58" s="9">
        <v>2.94</v>
      </c>
      <c r="G58" s="8">
        <v>2024</v>
      </c>
      <c r="H58" s="9">
        <v>76.41</v>
      </c>
      <c r="I58" t="s">
        <v>13</v>
      </c>
      <c r="J58" s="15" t="s">
        <v>14</v>
      </c>
    </row>
    <row r="59" spans="1:10">
      <c r="A59">
        <v>3481</v>
      </c>
      <c r="B59" t="s">
        <v>133</v>
      </c>
      <c r="C59" s="8">
        <v>19</v>
      </c>
      <c r="D59" t="s">
        <v>134</v>
      </c>
      <c r="E59" t="s">
        <v>34</v>
      </c>
      <c r="F59" s="9">
        <v>3.8</v>
      </c>
      <c r="G59" s="8">
        <v>2027</v>
      </c>
      <c r="H59" s="9">
        <v>86.47</v>
      </c>
      <c r="I59" t="s">
        <v>13</v>
      </c>
      <c r="J59" s="15" t="s">
        <v>14</v>
      </c>
    </row>
    <row r="60" spans="1:10">
      <c r="A60">
        <v>3068</v>
      </c>
      <c r="B60" t="s">
        <v>135</v>
      </c>
      <c r="C60" s="8">
        <v>21</v>
      </c>
      <c r="D60" t="s">
        <v>136</v>
      </c>
      <c r="E60" t="s">
        <v>12</v>
      </c>
      <c r="F60" s="9">
        <v>2.62</v>
      </c>
      <c r="G60" s="8">
        <v>2030</v>
      </c>
      <c r="H60" s="9">
        <v>97.73</v>
      </c>
      <c r="I60" t="s">
        <v>13</v>
      </c>
      <c r="J60" s="15" t="s">
        <v>14</v>
      </c>
    </row>
    <row r="61" spans="1:10">
      <c r="A61">
        <v>4514</v>
      </c>
      <c r="B61" t="s">
        <v>137</v>
      </c>
      <c r="C61" s="8">
        <v>25</v>
      </c>
      <c r="D61" t="s">
        <v>138</v>
      </c>
      <c r="E61" t="s">
        <v>70</v>
      </c>
      <c r="F61" s="9">
        <v>2.1</v>
      </c>
      <c r="G61" s="8">
        <v>2024</v>
      </c>
      <c r="H61" s="9">
        <v>69.81</v>
      </c>
      <c r="I61" t="s">
        <v>13</v>
      </c>
      <c r="J61" s="15" t="s">
        <v>14</v>
      </c>
    </row>
    <row r="62" spans="1:10">
      <c r="A62">
        <v>2499</v>
      </c>
      <c r="B62" t="s">
        <v>139</v>
      </c>
      <c r="C62" s="8">
        <v>23</v>
      </c>
      <c r="D62" t="s">
        <v>140</v>
      </c>
      <c r="E62" t="s">
        <v>70</v>
      </c>
      <c r="F62" s="9">
        <v>2.39</v>
      </c>
      <c r="G62" s="8">
        <v>2027</v>
      </c>
      <c r="H62" s="9">
        <v>60.53</v>
      </c>
      <c r="I62" t="s">
        <v>13</v>
      </c>
      <c r="J62" s="15" t="s">
        <v>14</v>
      </c>
    </row>
    <row r="63" spans="1:10">
      <c r="A63">
        <v>5212</v>
      </c>
      <c r="B63" t="s">
        <v>141</v>
      </c>
      <c r="C63" s="8">
        <v>23</v>
      </c>
      <c r="D63" t="s">
        <v>142</v>
      </c>
      <c r="E63" t="s">
        <v>12</v>
      </c>
      <c r="F63" s="9">
        <v>3.29</v>
      </c>
      <c r="G63" s="8">
        <v>2028</v>
      </c>
      <c r="H63" s="9">
        <v>60.97</v>
      </c>
      <c r="I63" t="s">
        <v>13</v>
      </c>
      <c r="J63" s="15" t="s">
        <v>14</v>
      </c>
    </row>
    <row r="64" spans="1:10">
      <c r="A64">
        <v>5550</v>
      </c>
      <c r="B64" t="s">
        <v>143</v>
      </c>
      <c r="C64" s="8">
        <v>22</v>
      </c>
      <c r="D64" t="s">
        <v>144</v>
      </c>
      <c r="E64" t="s">
        <v>20</v>
      </c>
      <c r="F64" s="9">
        <v>3.51</v>
      </c>
      <c r="G64" s="8">
        <v>2027</v>
      </c>
      <c r="H64" s="9">
        <v>88.38</v>
      </c>
      <c r="I64" t="s">
        <v>13</v>
      </c>
      <c r="J64" s="15" t="s">
        <v>14</v>
      </c>
    </row>
    <row r="65" spans="1:10">
      <c r="A65">
        <v>8265</v>
      </c>
      <c r="B65" t="s">
        <v>145</v>
      </c>
      <c r="C65" s="8">
        <v>24</v>
      </c>
      <c r="D65" t="s">
        <v>146</v>
      </c>
      <c r="E65" t="s">
        <v>17</v>
      </c>
      <c r="F65" s="9">
        <v>2.79</v>
      </c>
      <c r="G65" s="8">
        <v>2027</v>
      </c>
      <c r="H65" s="9">
        <v>96.98</v>
      </c>
      <c r="I65" t="s">
        <v>13</v>
      </c>
      <c r="J65" s="15" t="s">
        <v>14</v>
      </c>
    </row>
    <row r="66" spans="1:10">
      <c r="A66">
        <v>6398</v>
      </c>
      <c r="B66" t="s">
        <v>147</v>
      </c>
      <c r="C66" s="8">
        <v>18</v>
      </c>
      <c r="D66" t="s">
        <v>148</v>
      </c>
      <c r="E66" t="s">
        <v>34</v>
      </c>
      <c r="F66" s="9">
        <v>2.47</v>
      </c>
      <c r="G66" s="8">
        <v>2025</v>
      </c>
      <c r="H66" s="9">
        <v>78.69</v>
      </c>
      <c r="I66" t="s">
        <v>13</v>
      </c>
      <c r="J66" s="15" t="s">
        <v>14</v>
      </c>
    </row>
    <row r="67" spans="1:10">
      <c r="A67">
        <v>2706</v>
      </c>
      <c r="B67" t="s">
        <v>149</v>
      </c>
      <c r="C67" s="8">
        <v>24</v>
      </c>
      <c r="D67" t="s">
        <v>150</v>
      </c>
      <c r="E67" t="s">
        <v>34</v>
      </c>
      <c r="F67" s="9">
        <v>3.88</v>
      </c>
      <c r="G67" s="8">
        <v>2025</v>
      </c>
      <c r="H67" s="9">
        <v>75</v>
      </c>
      <c r="I67" t="s">
        <v>13</v>
      </c>
      <c r="J67" s="15" t="s">
        <v>14</v>
      </c>
    </row>
    <row r="68" spans="1:10">
      <c r="A68">
        <v>9410</v>
      </c>
      <c r="B68" t="s">
        <v>151</v>
      </c>
      <c r="C68" s="8">
        <v>19</v>
      </c>
      <c r="D68" t="s">
        <v>152</v>
      </c>
      <c r="E68" t="s">
        <v>34</v>
      </c>
      <c r="F68" s="9">
        <v>2.75</v>
      </c>
      <c r="G68" s="8">
        <v>2029</v>
      </c>
      <c r="H68" s="9">
        <v>81.71</v>
      </c>
      <c r="I68" t="s">
        <v>55</v>
      </c>
      <c r="J68" s="15" t="s">
        <v>21</v>
      </c>
    </row>
    <row r="69" spans="1:10">
      <c r="A69">
        <v>5851</v>
      </c>
      <c r="B69" t="s">
        <v>153</v>
      </c>
      <c r="C69" s="8">
        <v>19</v>
      </c>
      <c r="D69" t="s">
        <v>154</v>
      </c>
      <c r="E69" t="s">
        <v>34</v>
      </c>
      <c r="F69" s="9">
        <v>2.18</v>
      </c>
      <c r="G69" s="8">
        <v>2030</v>
      </c>
      <c r="H69" s="9">
        <v>94.36</v>
      </c>
      <c r="I69" t="s">
        <v>13</v>
      </c>
      <c r="J69" s="15" t="s">
        <v>21</v>
      </c>
    </row>
    <row r="70" spans="1:10">
      <c r="A70">
        <v>9842</v>
      </c>
      <c r="B70" t="s">
        <v>155</v>
      </c>
      <c r="C70" s="8">
        <v>19</v>
      </c>
      <c r="D70" t="s">
        <v>156</v>
      </c>
      <c r="E70" t="s">
        <v>12</v>
      </c>
      <c r="F70" s="9">
        <v>3.18</v>
      </c>
      <c r="G70" s="8">
        <v>2027</v>
      </c>
      <c r="H70" s="9">
        <v>86.09</v>
      </c>
      <c r="I70" t="s">
        <v>13</v>
      </c>
      <c r="J70" s="15" t="s">
        <v>21</v>
      </c>
    </row>
    <row r="71" spans="1:10">
      <c r="A71">
        <v>6069</v>
      </c>
      <c r="B71" t="s">
        <v>157</v>
      </c>
      <c r="C71" s="8">
        <v>20</v>
      </c>
      <c r="D71" t="s">
        <v>158</v>
      </c>
      <c r="E71" t="s">
        <v>17</v>
      </c>
      <c r="F71" s="9">
        <v>2.33</v>
      </c>
      <c r="G71" s="8">
        <v>2029</v>
      </c>
      <c r="H71" s="9">
        <v>69.32</v>
      </c>
      <c r="I71" t="s">
        <v>13</v>
      </c>
      <c r="J71" s="15" t="s">
        <v>14</v>
      </c>
    </row>
    <row r="72" spans="1:10">
      <c r="A72">
        <v>7081</v>
      </c>
      <c r="B72" t="s">
        <v>159</v>
      </c>
      <c r="C72" s="8">
        <v>22</v>
      </c>
      <c r="D72" t="s">
        <v>160</v>
      </c>
      <c r="E72" t="s">
        <v>17</v>
      </c>
      <c r="F72" s="9">
        <v>3.46</v>
      </c>
      <c r="G72" s="8">
        <v>2027</v>
      </c>
      <c r="H72" s="9">
        <v>90.98</v>
      </c>
      <c r="I72" t="s">
        <v>13</v>
      </c>
      <c r="J72" s="15" t="s">
        <v>21</v>
      </c>
    </row>
    <row r="73" spans="1:10">
      <c r="A73">
        <v>9812</v>
      </c>
      <c r="B73" t="s">
        <v>161</v>
      </c>
      <c r="C73" s="8">
        <v>20</v>
      </c>
      <c r="D73" t="s">
        <v>162</v>
      </c>
      <c r="E73" t="s">
        <v>20</v>
      </c>
      <c r="F73" s="9">
        <v>3.92</v>
      </c>
      <c r="G73" s="8">
        <v>2030</v>
      </c>
      <c r="H73" s="9">
        <v>65.38</v>
      </c>
      <c r="I73" t="s">
        <v>13</v>
      </c>
      <c r="J73" s="15" t="s">
        <v>21</v>
      </c>
    </row>
    <row r="74" spans="1:10">
      <c r="A74">
        <v>1790</v>
      </c>
      <c r="B74" t="s">
        <v>163</v>
      </c>
      <c r="C74" s="8">
        <v>19</v>
      </c>
      <c r="D74" t="s">
        <v>164</v>
      </c>
      <c r="E74" t="s">
        <v>20</v>
      </c>
      <c r="F74" s="9">
        <v>3.92</v>
      </c>
      <c r="G74" s="8">
        <v>2028</v>
      </c>
      <c r="H74" s="9">
        <v>66.62</v>
      </c>
      <c r="I74" t="s">
        <v>13</v>
      </c>
      <c r="J74" s="15" t="s">
        <v>21</v>
      </c>
    </row>
    <row r="75" spans="1:10">
      <c r="A75">
        <v>8268</v>
      </c>
      <c r="B75" t="s">
        <v>165</v>
      </c>
      <c r="C75" s="8">
        <v>20</v>
      </c>
      <c r="D75" t="s">
        <v>166</v>
      </c>
      <c r="E75" t="s">
        <v>12</v>
      </c>
      <c r="F75" s="9">
        <v>2.87</v>
      </c>
      <c r="G75" s="8">
        <v>2025</v>
      </c>
      <c r="H75" s="9">
        <v>84.51</v>
      </c>
      <c r="I75" t="s">
        <v>13</v>
      </c>
      <c r="J75" s="15" t="s">
        <v>21</v>
      </c>
    </row>
    <row r="76" spans="1:10">
      <c r="A76">
        <v>1383</v>
      </c>
      <c r="B76" t="s">
        <v>167</v>
      </c>
      <c r="C76" s="8">
        <v>18</v>
      </c>
      <c r="D76" t="s">
        <v>168</v>
      </c>
      <c r="E76" t="s">
        <v>17</v>
      </c>
      <c r="F76" s="9">
        <v>3.68</v>
      </c>
      <c r="G76" s="8">
        <v>2026</v>
      </c>
      <c r="H76" s="9">
        <v>69.55</v>
      </c>
      <c r="I76" t="s">
        <v>13</v>
      </c>
      <c r="J76" s="15" t="s">
        <v>14</v>
      </c>
    </row>
    <row r="77" spans="1:10">
      <c r="A77">
        <v>4197</v>
      </c>
      <c r="B77" t="s">
        <v>169</v>
      </c>
      <c r="C77" s="8">
        <v>23</v>
      </c>
      <c r="D77" t="s">
        <v>170</v>
      </c>
      <c r="E77" t="s">
        <v>34</v>
      </c>
      <c r="F77" s="9">
        <v>2.53</v>
      </c>
      <c r="G77" s="8">
        <v>2028</v>
      </c>
      <c r="H77" s="9">
        <v>88.19</v>
      </c>
      <c r="I77" t="s">
        <v>13</v>
      </c>
      <c r="J77" s="15" t="s">
        <v>14</v>
      </c>
    </row>
    <row r="78" spans="1:10">
      <c r="A78">
        <v>4517</v>
      </c>
      <c r="B78" t="s">
        <v>171</v>
      </c>
      <c r="C78" s="8">
        <v>25</v>
      </c>
      <c r="D78" t="s">
        <v>172</v>
      </c>
      <c r="E78" t="s">
        <v>34</v>
      </c>
      <c r="F78" s="9">
        <v>3.23</v>
      </c>
      <c r="G78" s="8">
        <v>2027</v>
      </c>
      <c r="H78" s="9">
        <v>73.98</v>
      </c>
      <c r="I78" t="s">
        <v>13</v>
      </c>
      <c r="J78" s="15" t="s">
        <v>14</v>
      </c>
    </row>
    <row r="79" spans="1:10">
      <c r="A79">
        <v>6733</v>
      </c>
      <c r="B79" t="s">
        <v>173</v>
      </c>
      <c r="C79" s="8">
        <v>25</v>
      </c>
      <c r="D79" t="s">
        <v>174</v>
      </c>
      <c r="E79" t="s">
        <v>70</v>
      </c>
      <c r="F79" s="9">
        <v>2.6</v>
      </c>
      <c r="G79" s="8">
        <v>2026</v>
      </c>
      <c r="H79" s="9">
        <v>71.1</v>
      </c>
      <c r="I79" t="s">
        <v>13</v>
      </c>
      <c r="J79" s="15" t="s">
        <v>21</v>
      </c>
    </row>
    <row r="80" spans="1:10">
      <c r="A80">
        <v>5406</v>
      </c>
      <c r="B80" t="s">
        <v>175</v>
      </c>
      <c r="C80" s="8">
        <v>22</v>
      </c>
      <c r="D80" t="s">
        <v>176</v>
      </c>
      <c r="E80" t="s">
        <v>34</v>
      </c>
      <c r="F80" s="9">
        <v>3.84</v>
      </c>
      <c r="G80" s="8">
        <v>2029</v>
      </c>
      <c r="H80" s="9">
        <v>99.96</v>
      </c>
      <c r="I80" t="s">
        <v>13</v>
      </c>
      <c r="J80" s="15" t="s">
        <v>21</v>
      </c>
    </row>
    <row r="81" spans="1:10">
      <c r="A81">
        <v>5652</v>
      </c>
      <c r="B81" t="s">
        <v>177</v>
      </c>
      <c r="C81" s="8">
        <v>19</v>
      </c>
      <c r="D81" t="s">
        <v>178</v>
      </c>
      <c r="E81" t="s">
        <v>17</v>
      </c>
      <c r="F81" s="9">
        <v>3.35</v>
      </c>
      <c r="G81" s="8">
        <v>2030</v>
      </c>
      <c r="H81" s="9">
        <v>61.62</v>
      </c>
      <c r="I81" t="s">
        <v>13</v>
      </c>
      <c r="J81" s="15" t="s">
        <v>14</v>
      </c>
    </row>
    <row r="82" spans="1:10">
      <c r="A82">
        <v>4846</v>
      </c>
      <c r="B82" t="s">
        <v>179</v>
      </c>
      <c r="C82" s="8">
        <v>20</v>
      </c>
      <c r="D82" t="s">
        <v>180</v>
      </c>
      <c r="E82" t="s">
        <v>34</v>
      </c>
      <c r="F82" s="9">
        <v>2.83</v>
      </c>
      <c r="G82" s="8">
        <v>2027</v>
      </c>
      <c r="H82" s="9">
        <v>85.83</v>
      </c>
      <c r="I82" t="s">
        <v>13</v>
      </c>
      <c r="J82" s="15" t="s">
        <v>14</v>
      </c>
    </row>
    <row r="83" spans="1:10">
      <c r="A83">
        <v>9806</v>
      </c>
      <c r="B83" t="s">
        <v>181</v>
      </c>
      <c r="C83" s="8">
        <v>18</v>
      </c>
      <c r="D83" t="s">
        <v>182</v>
      </c>
      <c r="E83" t="s">
        <v>70</v>
      </c>
      <c r="F83" s="9">
        <v>2.74</v>
      </c>
      <c r="G83" s="8">
        <v>2028</v>
      </c>
      <c r="H83" s="9">
        <v>61.55</v>
      </c>
      <c r="I83" t="s">
        <v>13</v>
      </c>
      <c r="J83" s="15" t="s">
        <v>21</v>
      </c>
    </row>
    <row r="84" spans="1:10">
      <c r="A84">
        <v>8526</v>
      </c>
      <c r="B84" t="s">
        <v>183</v>
      </c>
      <c r="C84" s="8">
        <v>23</v>
      </c>
      <c r="D84" t="s">
        <v>184</v>
      </c>
      <c r="E84" t="s">
        <v>12</v>
      </c>
      <c r="F84" s="9">
        <v>3.5</v>
      </c>
      <c r="G84" s="8">
        <v>2026</v>
      </c>
      <c r="H84" s="9">
        <v>90.41</v>
      </c>
      <c r="I84" t="s">
        <v>13</v>
      </c>
      <c r="J84" s="15" t="s">
        <v>14</v>
      </c>
    </row>
    <row r="85" spans="1:10">
      <c r="A85">
        <v>3257</v>
      </c>
      <c r="B85" t="s">
        <v>185</v>
      </c>
      <c r="C85" s="8">
        <v>22</v>
      </c>
      <c r="D85" t="s">
        <v>186</v>
      </c>
      <c r="E85" t="s">
        <v>12</v>
      </c>
      <c r="F85" s="9">
        <v>3.67</v>
      </c>
      <c r="G85" s="8">
        <v>2027</v>
      </c>
      <c r="H85" s="9">
        <v>69.2</v>
      </c>
      <c r="I85" t="s">
        <v>13</v>
      </c>
      <c r="J85" s="15" t="s">
        <v>14</v>
      </c>
    </row>
    <row r="86" spans="1:10">
      <c r="A86">
        <v>1214</v>
      </c>
      <c r="B86" t="s">
        <v>187</v>
      </c>
      <c r="C86" s="8">
        <v>24</v>
      </c>
      <c r="D86" t="s">
        <v>188</v>
      </c>
      <c r="E86" t="s">
        <v>20</v>
      </c>
      <c r="F86" s="9">
        <v>3.28</v>
      </c>
      <c r="G86" s="8">
        <v>2027</v>
      </c>
      <c r="H86" s="9">
        <v>63.59</v>
      </c>
      <c r="I86" t="s">
        <v>13</v>
      </c>
      <c r="J86" s="15" t="s">
        <v>14</v>
      </c>
    </row>
    <row r="87" spans="1:10">
      <c r="A87">
        <v>2921</v>
      </c>
      <c r="B87" t="s">
        <v>189</v>
      </c>
      <c r="C87" s="8">
        <v>24</v>
      </c>
      <c r="D87" t="s">
        <v>190</v>
      </c>
      <c r="E87" t="s">
        <v>34</v>
      </c>
      <c r="F87" s="9">
        <v>3.97</v>
      </c>
      <c r="G87" s="8">
        <v>2024</v>
      </c>
      <c r="H87" s="9">
        <v>85.94</v>
      </c>
      <c r="I87" t="s">
        <v>13</v>
      </c>
      <c r="J87" s="15" t="s">
        <v>21</v>
      </c>
    </row>
    <row r="88" spans="1:10">
      <c r="A88">
        <v>1853</v>
      </c>
      <c r="B88" t="s">
        <v>191</v>
      </c>
      <c r="C88" s="8">
        <v>19</v>
      </c>
      <c r="D88" t="s">
        <v>192</v>
      </c>
      <c r="E88" t="s">
        <v>70</v>
      </c>
      <c r="F88" s="9">
        <v>3.07</v>
      </c>
      <c r="G88" s="8">
        <v>2027</v>
      </c>
      <c r="H88" s="9">
        <v>89.3</v>
      </c>
      <c r="I88" t="s">
        <v>13</v>
      </c>
      <c r="J88" s="15" t="s">
        <v>14</v>
      </c>
    </row>
    <row r="89" spans="1:10">
      <c r="A89">
        <v>4418</v>
      </c>
      <c r="B89" t="s">
        <v>193</v>
      </c>
      <c r="C89" s="8">
        <v>25</v>
      </c>
      <c r="D89" t="s">
        <v>194</v>
      </c>
      <c r="E89" t="s">
        <v>34</v>
      </c>
      <c r="F89" s="9">
        <v>2.14</v>
      </c>
      <c r="G89" s="8">
        <v>2028</v>
      </c>
      <c r="H89" s="9">
        <v>87.12</v>
      </c>
      <c r="I89" t="s">
        <v>13</v>
      </c>
      <c r="J89" s="15" t="s">
        <v>21</v>
      </c>
    </row>
    <row r="90" spans="1:10">
      <c r="A90">
        <v>6729</v>
      </c>
      <c r="B90" t="s">
        <v>195</v>
      </c>
      <c r="C90" s="8">
        <v>18</v>
      </c>
      <c r="D90" t="s">
        <v>196</v>
      </c>
      <c r="E90" t="s">
        <v>20</v>
      </c>
      <c r="F90" s="9">
        <v>3.52</v>
      </c>
      <c r="G90" s="8">
        <v>2026</v>
      </c>
      <c r="H90" s="9">
        <v>62.08</v>
      </c>
      <c r="I90" t="s">
        <v>13</v>
      </c>
      <c r="J90" s="15" t="s">
        <v>21</v>
      </c>
    </row>
    <row r="91" spans="1:10">
      <c r="A91">
        <v>4509</v>
      </c>
      <c r="B91" t="s">
        <v>197</v>
      </c>
      <c r="C91" s="8">
        <v>21</v>
      </c>
      <c r="D91" t="s">
        <v>198</v>
      </c>
      <c r="E91" t="s">
        <v>20</v>
      </c>
      <c r="F91" s="9">
        <v>3.16</v>
      </c>
      <c r="G91" s="8">
        <v>2024</v>
      </c>
      <c r="H91" s="9">
        <v>71.77</v>
      </c>
      <c r="I91" t="s">
        <v>13</v>
      </c>
      <c r="J91" s="15" t="s">
        <v>14</v>
      </c>
    </row>
    <row r="92" spans="1:10">
      <c r="A92">
        <v>8646</v>
      </c>
      <c r="B92" t="s">
        <v>199</v>
      </c>
      <c r="C92" s="8">
        <v>18</v>
      </c>
      <c r="D92" t="s">
        <v>200</v>
      </c>
      <c r="E92" t="s">
        <v>12</v>
      </c>
      <c r="F92" s="9">
        <v>2.84</v>
      </c>
      <c r="G92" s="8">
        <v>2028</v>
      </c>
      <c r="H92" s="9">
        <v>78.04</v>
      </c>
      <c r="I92" t="s">
        <v>13</v>
      </c>
      <c r="J92" s="15" t="s">
        <v>14</v>
      </c>
    </row>
    <row r="93" spans="1:10">
      <c r="A93">
        <v>4675</v>
      </c>
      <c r="B93" t="s">
        <v>201</v>
      </c>
      <c r="C93" s="8">
        <v>25</v>
      </c>
      <c r="D93" t="s">
        <v>202</v>
      </c>
      <c r="E93" t="s">
        <v>70</v>
      </c>
      <c r="F93" s="9">
        <v>3.86</v>
      </c>
      <c r="G93" s="8">
        <v>2025</v>
      </c>
      <c r="H93" s="9">
        <v>71.48</v>
      </c>
      <c r="I93" t="s">
        <v>13</v>
      </c>
      <c r="J93" s="15" t="s">
        <v>21</v>
      </c>
    </row>
    <row r="94" spans="1:10">
      <c r="A94">
        <v>9291</v>
      </c>
      <c r="B94" t="s">
        <v>203</v>
      </c>
      <c r="C94" s="8">
        <v>23</v>
      </c>
      <c r="D94" t="s">
        <v>204</v>
      </c>
      <c r="E94" t="s">
        <v>17</v>
      </c>
      <c r="F94" s="9">
        <v>2.3</v>
      </c>
      <c r="G94" s="8">
        <v>2028</v>
      </c>
      <c r="H94" s="9">
        <v>92.42</v>
      </c>
      <c r="I94" t="s">
        <v>13</v>
      </c>
      <c r="J94" s="15" t="s">
        <v>14</v>
      </c>
    </row>
    <row r="95" spans="1:10">
      <c r="A95">
        <v>8808</v>
      </c>
      <c r="B95" t="s">
        <v>205</v>
      </c>
      <c r="C95" s="8">
        <v>20</v>
      </c>
      <c r="D95" t="s">
        <v>206</v>
      </c>
      <c r="E95" t="s">
        <v>20</v>
      </c>
      <c r="F95" s="9">
        <v>2.7</v>
      </c>
      <c r="G95" s="8">
        <v>2030</v>
      </c>
      <c r="H95" s="9">
        <v>65.24</v>
      </c>
      <c r="I95" t="s">
        <v>13</v>
      </c>
      <c r="J95" s="15" t="s">
        <v>21</v>
      </c>
    </row>
    <row r="96" spans="1:10">
      <c r="A96">
        <v>5441</v>
      </c>
      <c r="B96" t="s">
        <v>207</v>
      </c>
      <c r="C96" s="8">
        <v>25</v>
      </c>
      <c r="D96" t="s">
        <v>208</v>
      </c>
      <c r="E96" t="s">
        <v>12</v>
      </c>
      <c r="F96" s="9">
        <v>3.77</v>
      </c>
      <c r="G96" s="8">
        <v>2030</v>
      </c>
      <c r="H96" s="9">
        <v>84.49</v>
      </c>
      <c r="I96" t="s">
        <v>13</v>
      </c>
      <c r="J96" s="15" t="s">
        <v>14</v>
      </c>
    </row>
    <row r="97" spans="1:10">
      <c r="A97">
        <v>6001</v>
      </c>
      <c r="B97" t="s">
        <v>209</v>
      </c>
      <c r="C97" s="8">
        <v>22</v>
      </c>
      <c r="D97" t="s">
        <v>210</v>
      </c>
      <c r="E97" t="s">
        <v>17</v>
      </c>
      <c r="F97" s="9">
        <v>3.39</v>
      </c>
      <c r="G97" s="8">
        <v>2024</v>
      </c>
      <c r="H97" s="9">
        <v>99.53</v>
      </c>
      <c r="I97" t="s">
        <v>13</v>
      </c>
      <c r="J97" s="15" t="s">
        <v>14</v>
      </c>
    </row>
    <row r="98" spans="1:10">
      <c r="A98">
        <v>5630</v>
      </c>
      <c r="B98" t="s">
        <v>211</v>
      </c>
      <c r="C98" s="8">
        <v>21</v>
      </c>
      <c r="D98" t="s">
        <v>212</v>
      </c>
      <c r="E98" t="s">
        <v>17</v>
      </c>
      <c r="F98" s="9">
        <v>3.2</v>
      </c>
      <c r="G98" s="8">
        <v>2024</v>
      </c>
      <c r="H98" s="9">
        <v>96.1</v>
      </c>
      <c r="I98" t="s">
        <v>55</v>
      </c>
      <c r="J98" s="15" t="s">
        <v>14</v>
      </c>
    </row>
    <row r="99" spans="1:10">
      <c r="A99">
        <v>4311</v>
      </c>
      <c r="B99" t="s">
        <v>213</v>
      </c>
      <c r="C99" s="8">
        <v>21</v>
      </c>
      <c r="D99" t="s">
        <v>214</v>
      </c>
      <c r="E99" t="s">
        <v>70</v>
      </c>
      <c r="F99" s="9">
        <v>3.95</v>
      </c>
      <c r="G99" s="8">
        <v>2024</v>
      </c>
      <c r="H99" s="9">
        <v>68.89</v>
      </c>
      <c r="I99" t="s">
        <v>13</v>
      </c>
      <c r="J99" s="15" t="s">
        <v>14</v>
      </c>
    </row>
    <row r="100" spans="1:10">
      <c r="A100">
        <v>6577</v>
      </c>
      <c r="B100" t="s">
        <v>215</v>
      </c>
      <c r="C100" s="8">
        <v>20</v>
      </c>
      <c r="D100" t="s">
        <v>216</v>
      </c>
      <c r="E100" t="s">
        <v>20</v>
      </c>
      <c r="F100" s="9">
        <v>2.11</v>
      </c>
      <c r="G100" s="8">
        <v>2027</v>
      </c>
      <c r="H100" s="9">
        <v>60</v>
      </c>
      <c r="I100" t="s">
        <v>13</v>
      </c>
      <c r="J100" s="15" t="s">
        <v>14</v>
      </c>
    </row>
    <row r="101" spans="1:10">
      <c r="A101">
        <v>6809</v>
      </c>
      <c r="B101" t="s">
        <v>217</v>
      </c>
      <c r="C101" s="8">
        <v>23</v>
      </c>
      <c r="D101" t="s">
        <v>218</v>
      </c>
      <c r="E101" t="s">
        <v>70</v>
      </c>
      <c r="F101" s="9">
        <v>2.76</v>
      </c>
      <c r="G101" s="8">
        <v>2024</v>
      </c>
      <c r="H101" s="9">
        <v>99.22</v>
      </c>
      <c r="I101" t="s">
        <v>13</v>
      </c>
      <c r="J101" s="15" t="s">
        <v>21</v>
      </c>
    </row>
    <row r="102" spans="1:10">
      <c r="A102">
        <v>2318</v>
      </c>
      <c r="B102" t="s">
        <v>219</v>
      </c>
      <c r="C102" s="8">
        <v>25</v>
      </c>
      <c r="D102" t="s">
        <v>220</v>
      </c>
      <c r="E102" t="s">
        <v>12</v>
      </c>
      <c r="F102" s="9">
        <v>3</v>
      </c>
      <c r="G102" s="8">
        <v>2030</v>
      </c>
      <c r="H102" s="9">
        <v>95.31</v>
      </c>
      <c r="I102" t="s">
        <v>13</v>
      </c>
      <c r="J102" s="15" t="s">
        <v>21</v>
      </c>
    </row>
    <row r="103" spans="1:10">
      <c r="A103">
        <v>4948</v>
      </c>
      <c r="B103" t="s">
        <v>221</v>
      </c>
      <c r="C103" s="8">
        <v>22</v>
      </c>
      <c r="D103" t="s">
        <v>222</v>
      </c>
      <c r="E103" t="s">
        <v>17</v>
      </c>
      <c r="F103" s="9">
        <v>2.85</v>
      </c>
      <c r="G103" s="8">
        <v>2024</v>
      </c>
      <c r="H103" s="9">
        <v>96.78</v>
      </c>
      <c r="I103" t="s">
        <v>13</v>
      </c>
      <c r="J103" s="15" t="s">
        <v>14</v>
      </c>
    </row>
    <row r="104" spans="1:10">
      <c r="A104">
        <v>7574</v>
      </c>
      <c r="B104" t="s">
        <v>223</v>
      </c>
      <c r="C104" s="8">
        <v>24</v>
      </c>
      <c r="D104" t="s">
        <v>224</v>
      </c>
      <c r="E104" t="s">
        <v>20</v>
      </c>
      <c r="F104" s="9">
        <v>3.97</v>
      </c>
      <c r="G104" s="8">
        <v>2030</v>
      </c>
      <c r="H104" s="9">
        <v>76.62</v>
      </c>
      <c r="I104" t="s">
        <v>13</v>
      </c>
      <c r="J104" s="15" t="s">
        <v>14</v>
      </c>
    </row>
    <row r="105" spans="1:10">
      <c r="A105">
        <v>8155</v>
      </c>
      <c r="B105" t="s">
        <v>225</v>
      </c>
      <c r="C105" s="8">
        <v>23</v>
      </c>
      <c r="D105" t="s">
        <v>226</v>
      </c>
      <c r="E105" t="s">
        <v>34</v>
      </c>
      <c r="F105" s="9">
        <v>3.52</v>
      </c>
      <c r="G105" s="8">
        <v>2028</v>
      </c>
      <c r="H105" s="9">
        <v>89.78</v>
      </c>
      <c r="I105" t="s">
        <v>13</v>
      </c>
      <c r="J105" s="15" t="s">
        <v>14</v>
      </c>
    </row>
    <row r="106" spans="1:10">
      <c r="A106">
        <v>5776</v>
      </c>
      <c r="B106" t="s">
        <v>227</v>
      </c>
      <c r="C106" s="8">
        <v>20</v>
      </c>
      <c r="D106" t="s">
        <v>228</v>
      </c>
      <c r="E106" t="s">
        <v>20</v>
      </c>
      <c r="F106" s="9">
        <v>3.37</v>
      </c>
      <c r="G106" s="8">
        <v>2030</v>
      </c>
      <c r="H106" s="9">
        <v>68.51</v>
      </c>
      <c r="I106" t="s">
        <v>13</v>
      </c>
      <c r="J106" s="15" t="s">
        <v>14</v>
      </c>
    </row>
    <row r="107" spans="1:10">
      <c r="A107">
        <v>1857</v>
      </c>
      <c r="B107" t="s">
        <v>229</v>
      </c>
      <c r="C107" s="8">
        <v>25</v>
      </c>
      <c r="D107" t="s">
        <v>230</v>
      </c>
      <c r="E107" t="s">
        <v>34</v>
      </c>
      <c r="F107" s="9">
        <v>3.41</v>
      </c>
      <c r="G107" s="8">
        <v>2025</v>
      </c>
      <c r="H107" s="9">
        <v>75.69</v>
      </c>
      <c r="I107" t="s">
        <v>13</v>
      </c>
      <c r="J107" s="15" t="s">
        <v>14</v>
      </c>
    </row>
    <row r="108" spans="1:10">
      <c r="A108">
        <v>1742</v>
      </c>
      <c r="B108" t="s">
        <v>231</v>
      </c>
      <c r="C108" s="8">
        <v>20</v>
      </c>
      <c r="D108" t="s">
        <v>232</v>
      </c>
      <c r="E108" t="s">
        <v>70</v>
      </c>
      <c r="F108" s="9">
        <v>2.86</v>
      </c>
      <c r="G108" s="8">
        <v>2030</v>
      </c>
      <c r="H108" s="9">
        <v>94.06</v>
      </c>
      <c r="I108" t="s">
        <v>13</v>
      </c>
      <c r="J108" s="15" t="s">
        <v>14</v>
      </c>
    </row>
    <row r="109" spans="1:10">
      <c r="A109">
        <v>4406</v>
      </c>
      <c r="B109" t="s">
        <v>233</v>
      </c>
      <c r="C109" s="8">
        <v>21</v>
      </c>
      <c r="D109" t="s">
        <v>234</v>
      </c>
      <c r="E109" t="s">
        <v>20</v>
      </c>
      <c r="F109" s="9">
        <v>3.86</v>
      </c>
      <c r="G109" s="8">
        <v>2030</v>
      </c>
      <c r="H109" s="9">
        <v>65.1</v>
      </c>
      <c r="I109" t="s">
        <v>13</v>
      </c>
      <c r="J109" s="15" t="s">
        <v>14</v>
      </c>
    </row>
    <row r="110" spans="1:10">
      <c r="A110">
        <v>2800</v>
      </c>
      <c r="B110" t="s">
        <v>235</v>
      </c>
      <c r="C110" s="8">
        <v>19</v>
      </c>
      <c r="D110" t="s">
        <v>236</v>
      </c>
      <c r="E110" t="s">
        <v>34</v>
      </c>
      <c r="F110" s="9">
        <v>2.99</v>
      </c>
      <c r="G110" s="8">
        <v>2029</v>
      </c>
      <c r="H110" s="9">
        <v>95.75</v>
      </c>
      <c r="I110" t="s">
        <v>13</v>
      </c>
      <c r="J110" s="15" t="s">
        <v>21</v>
      </c>
    </row>
    <row r="111" spans="1:10">
      <c r="A111">
        <v>1666</v>
      </c>
      <c r="B111" t="s">
        <v>237</v>
      </c>
      <c r="C111" s="8">
        <v>20</v>
      </c>
      <c r="D111" t="s">
        <v>238</v>
      </c>
      <c r="E111" t="s">
        <v>34</v>
      </c>
      <c r="F111" s="9">
        <v>3.23</v>
      </c>
      <c r="G111" s="8">
        <v>2027</v>
      </c>
      <c r="H111" s="9">
        <v>79.86</v>
      </c>
      <c r="I111" t="s">
        <v>13</v>
      </c>
      <c r="J111" s="15" t="s">
        <v>14</v>
      </c>
    </row>
    <row r="112" spans="1:10">
      <c r="A112">
        <v>1328</v>
      </c>
      <c r="B112" t="s">
        <v>239</v>
      </c>
      <c r="C112" s="8">
        <v>21</v>
      </c>
      <c r="D112" t="s">
        <v>240</v>
      </c>
      <c r="E112" t="s">
        <v>70</v>
      </c>
      <c r="F112" s="9">
        <v>2.51</v>
      </c>
      <c r="G112" s="8">
        <v>2030</v>
      </c>
      <c r="H112" s="9">
        <v>77.04</v>
      </c>
      <c r="I112" t="s">
        <v>13</v>
      </c>
      <c r="J112" s="15" t="s">
        <v>21</v>
      </c>
    </row>
    <row r="113" spans="1:10">
      <c r="A113">
        <v>7728</v>
      </c>
      <c r="B113" t="s">
        <v>241</v>
      </c>
      <c r="C113" s="8">
        <v>24</v>
      </c>
      <c r="D113" t="s">
        <v>242</v>
      </c>
      <c r="E113" t="s">
        <v>34</v>
      </c>
      <c r="F113" s="9">
        <v>2.38</v>
      </c>
      <c r="G113" s="8">
        <v>2025</v>
      </c>
      <c r="H113" s="9">
        <v>72.23</v>
      </c>
      <c r="I113" t="s">
        <v>13</v>
      </c>
      <c r="J113" s="15" t="s">
        <v>14</v>
      </c>
    </row>
    <row r="114" spans="1:10">
      <c r="A114">
        <v>6489</v>
      </c>
      <c r="B114" t="s">
        <v>243</v>
      </c>
      <c r="C114" s="8">
        <v>24</v>
      </c>
      <c r="D114" t="s">
        <v>244</v>
      </c>
      <c r="E114" t="s">
        <v>17</v>
      </c>
      <c r="F114" s="9">
        <v>3.25</v>
      </c>
      <c r="G114" s="8">
        <v>2027</v>
      </c>
      <c r="H114" s="9">
        <v>96.67</v>
      </c>
      <c r="I114" t="s">
        <v>13</v>
      </c>
      <c r="J114" s="15" t="s">
        <v>14</v>
      </c>
    </row>
    <row r="115" spans="1:10">
      <c r="A115">
        <v>9047</v>
      </c>
      <c r="B115" t="s">
        <v>245</v>
      </c>
      <c r="C115" s="8">
        <v>23</v>
      </c>
      <c r="D115" t="s">
        <v>246</v>
      </c>
      <c r="E115" t="s">
        <v>17</v>
      </c>
      <c r="F115" s="9">
        <v>2.14</v>
      </c>
      <c r="G115" s="8">
        <v>2025</v>
      </c>
      <c r="H115" s="9">
        <v>80.7</v>
      </c>
      <c r="I115" t="s">
        <v>13</v>
      </c>
      <c r="J115" s="15" t="s">
        <v>14</v>
      </c>
    </row>
    <row r="116" spans="1:10">
      <c r="A116">
        <v>5788</v>
      </c>
      <c r="B116" t="s">
        <v>247</v>
      </c>
      <c r="C116" s="8">
        <v>18</v>
      </c>
      <c r="D116" t="s">
        <v>248</v>
      </c>
      <c r="E116" t="s">
        <v>70</v>
      </c>
      <c r="F116" s="9">
        <v>3.75</v>
      </c>
      <c r="G116" s="8">
        <v>2025</v>
      </c>
      <c r="H116" s="9">
        <v>92.16</v>
      </c>
      <c r="I116" t="s">
        <v>13</v>
      </c>
      <c r="J116" s="15" t="s">
        <v>14</v>
      </c>
    </row>
    <row r="117" spans="1:10">
      <c r="A117">
        <v>8426</v>
      </c>
      <c r="B117" t="s">
        <v>249</v>
      </c>
      <c r="C117" s="8">
        <v>25</v>
      </c>
      <c r="D117" t="s">
        <v>250</v>
      </c>
      <c r="E117" t="s">
        <v>20</v>
      </c>
      <c r="F117" s="9">
        <v>2.2</v>
      </c>
      <c r="G117" s="8">
        <v>2027</v>
      </c>
      <c r="H117" s="9">
        <v>94.31</v>
      </c>
      <c r="I117" t="s">
        <v>13</v>
      </c>
      <c r="J117" s="15" t="s">
        <v>14</v>
      </c>
    </row>
    <row r="118" spans="1:10">
      <c r="A118">
        <v>8366</v>
      </c>
      <c r="B118" t="s">
        <v>251</v>
      </c>
      <c r="C118" s="8">
        <v>20</v>
      </c>
      <c r="D118" t="s">
        <v>252</v>
      </c>
      <c r="E118" t="s">
        <v>70</v>
      </c>
      <c r="F118" s="9">
        <v>2.77</v>
      </c>
      <c r="G118" s="8">
        <v>2030</v>
      </c>
      <c r="H118" s="9">
        <v>96.9</v>
      </c>
      <c r="I118" t="s">
        <v>13</v>
      </c>
      <c r="J118" s="15" t="s">
        <v>21</v>
      </c>
    </row>
    <row r="119" spans="1:10">
      <c r="A119">
        <v>2963</v>
      </c>
      <c r="B119" t="s">
        <v>253</v>
      </c>
      <c r="C119" s="8">
        <v>21</v>
      </c>
      <c r="D119" t="s">
        <v>254</v>
      </c>
      <c r="E119" t="s">
        <v>70</v>
      </c>
      <c r="F119" s="9">
        <v>2.99</v>
      </c>
      <c r="G119" s="8">
        <v>2027</v>
      </c>
      <c r="H119" s="9">
        <v>72.14</v>
      </c>
      <c r="I119" t="s">
        <v>13</v>
      </c>
      <c r="J119" s="15" t="s">
        <v>14</v>
      </c>
    </row>
    <row r="120" spans="1:10">
      <c r="A120">
        <v>3669</v>
      </c>
      <c r="B120" t="s">
        <v>255</v>
      </c>
      <c r="C120" s="8">
        <v>23</v>
      </c>
      <c r="D120" t="s">
        <v>256</v>
      </c>
      <c r="E120" t="s">
        <v>34</v>
      </c>
      <c r="F120" s="9">
        <v>2.48</v>
      </c>
      <c r="G120" s="8">
        <v>2025</v>
      </c>
      <c r="H120" s="9">
        <v>73.59</v>
      </c>
      <c r="I120" t="s">
        <v>13</v>
      </c>
      <c r="J120" s="15" t="s">
        <v>14</v>
      </c>
    </row>
    <row r="121" spans="1:10">
      <c r="A121">
        <v>4925</v>
      </c>
      <c r="B121" t="s">
        <v>257</v>
      </c>
      <c r="C121" s="8">
        <v>20</v>
      </c>
      <c r="D121" t="s">
        <v>258</v>
      </c>
      <c r="E121" t="s">
        <v>34</v>
      </c>
      <c r="F121" s="9">
        <v>3.63</v>
      </c>
      <c r="G121" s="8">
        <v>2027</v>
      </c>
      <c r="H121" s="9">
        <v>83.8</v>
      </c>
      <c r="I121" t="s">
        <v>13</v>
      </c>
      <c r="J121" s="15" t="s">
        <v>21</v>
      </c>
    </row>
    <row r="122" spans="1:10">
      <c r="A122">
        <v>6915</v>
      </c>
      <c r="B122" t="s">
        <v>259</v>
      </c>
      <c r="C122" s="8">
        <v>23</v>
      </c>
      <c r="D122" t="s">
        <v>260</v>
      </c>
      <c r="E122" t="s">
        <v>17</v>
      </c>
      <c r="F122" s="9">
        <v>3.03</v>
      </c>
      <c r="G122" s="8">
        <v>2030</v>
      </c>
      <c r="H122" s="9">
        <v>77.65</v>
      </c>
      <c r="I122" t="s">
        <v>13</v>
      </c>
      <c r="J122" s="15" t="s">
        <v>21</v>
      </c>
    </row>
    <row r="123" spans="1:10">
      <c r="A123">
        <v>4538</v>
      </c>
      <c r="B123" t="s">
        <v>261</v>
      </c>
      <c r="C123" s="8">
        <v>23</v>
      </c>
      <c r="D123" t="s">
        <v>262</v>
      </c>
      <c r="E123" t="s">
        <v>20</v>
      </c>
      <c r="F123" s="9">
        <v>3.65</v>
      </c>
      <c r="G123" s="8">
        <v>2025</v>
      </c>
      <c r="H123" s="9">
        <v>97.31</v>
      </c>
      <c r="I123" t="s">
        <v>13</v>
      </c>
      <c r="J123" s="15" t="s">
        <v>14</v>
      </c>
    </row>
    <row r="124" spans="1:10">
      <c r="A124">
        <v>1663</v>
      </c>
      <c r="B124" t="s">
        <v>263</v>
      </c>
      <c r="C124" s="8">
        <v>18</v>
      </c>
      <c r="D124" t="s">
        <v>264</v>
      </c>
      <c r="E124" t="s">
        <v>20</v>
      </c>
      <c r="F124" s="9">
        <v>3.32</v>
      </c>
      <c r="G124" s="8">
        <v>2030</v>
      </c>
      <c r="H124" s="9">
        <v>75.9</v>
      </c>
      <c r="I124" t="s">
        <v>13</v>
      </c>
      <c r="J124" s="15" t="s">
        <v>21</v>
      </c>
    </row>
    <row r="125" spans="1:10">
      <c r="A125">
        <v>1708</v>
      </c>
      <c r="B125" t="s">
        <v>265</v>
      </c>
      <c r="C125" s="8">
        <v>22</v>
      </c>
      <c r="D125" t="s">
        <v>266</v>
      </c>
      <c r="E125" t="s">
        <v>70</v>
      </c>
      <c r="F125" s="9">
        <v>3.37</v>
      </c>
      <c r="G125" s="8">
        <v>2027</v>
      </c>
      <c r="H125" s="9">
        <v>79.11</v>
      </c>
      <c r="I125" t="s">
        <v>13</v>
      </c>
      <c r="J125" s="15" t="s">
        <v>14</v>
      </c>
    </row>
    <row r="126" spans="1:10">
      <c r="A126">
        <v>9707</v>
      </c>
      <c r="B126" t="s">
        <v>267</v>
      </c>
      <c r="C126" s="8">
        <v>25</v>
      </c>
      <c r="D126" t="s">
        <v>268</v>
      </c>
      <c r="E126" t="s">
        <v>34</v>
      </c>
      <c r="F126" s="9">
        <v>2.41</v>
      </c>
      <c r="G126" s="8">
        <v>2026</v>
      </c>
      <c r="H126" s="9">
        <v>84.69</v>
      </c>
      <c r="I126" t="s">
        <v>13</v>
      </c>
      <c r="J126" s="15" t="s">
        <v>14</v>
      </c>
    </row>
    <row r="127" spans="1:10">
      <c r="A127">
        <v>4188</v>
      </c>
      <c r="B127" t="s">
        <v>269</v>
      </c>
      <c r="C127" s="8">
        <v>23</v>
      </c>
      <c r="D127" t="s">
        <v>270</v>
      </c>
      <c r="E127" t="s">
        <v>34</v>
      </c>
      <c r="F127" s="9">
        <v>3.8</v>
      </c>
      <c r="G127" s="8">
        <v>2027</v>
      </c>
      <c r="H127" s="9">
        <v>76.19</v>
      </c>
      <c r="I127" t="s">
        <v>13</v>
      </c>
      <c r="J127" s="15" t="s">
        <v>14</v>
      </c>
    </row>
    <row r="128" spans="1:10">
      <c r="A128">
        <v>5902</v>
      </c>
      <c r="B128" t="s">
        <v>271</v>
      </c>
      <c r="C128" s="8">
        <v>24</v>
      </c>
      <c r="D128" t="s">
        <v>272</v>
      </c>
      <c r="E128" t="s">
        <v>17</v>
      </c>
      <c r="F128" s="9">
        <v>2.9</v>
      </c>
      <c r="G128" s="8">
        <v>2025</v>
      </c>
      <c r="H128" s="9">
        <v>99.7</v>
      </c>
      <c r="I128" t="s">
        <v>13</v>
      </c>
      <c r="J128" s="15" t="s">
        <v>14</v>
      </c>
    </row>
    <row r="129" spans="1:10">
      <c r="A129">
        <v>7107</v>
      </c>
      <c r="B129" t="s">
        <v>273</v>
      </c>
      <c r="C129" s="8">
        <v>18</v>
      </c>
      <c r="D129" t="s">
        <v>274</v>
      </c>
      <c r="E129" t="s">
        <v>20</v>
      </c>
      <c r="F129" s="9">
        <v>3.44</v>
      </c>
      <c r="G129" s="8">
        <v>2025</v>
      </c>
      <c r="H129" s="9">
        <v>63.95</v>
      </c>
      <c r="I129" t="s">
        <v>13</v>
      </c>
      <c r="J129" s="15" t="s">
        <v>21</v>
      </c>
    </row>
    <row r="130" spans="1:10">
      <c r="A130">
        <v>8040</v>
      </c>
      <c r="B130" t="s">
        <v>275</v>
      </c>
      <c r="C130" s="8">
        <v>20</v>
      </c>
      <c r="D130" t="s">
        <v>276</v>
      </c>
      <c r="E130" t="s">
        <v>20</v>
      </c>
      <c r="F130" s="9">
        <v>2.51</v>
      </c>
      <c r="G130" s="8">
        <v>2029</v>
      </c>
      <c r="H130" s="9">
        <v>68.82</v>
      </c>
      <c r="I130" t="s">
        <v>13</v>
      </c>
      <c r="J130" s="15" t="s">
        <v>14</v>
      </c>
    </row>
    <row r="131" spans="1:10">
      <c r="A131">
        <v>4140</v>
      </c>
      <c r="B131" t="s">
        <v>277</v>
      </c>
      <c r="C131" s="8">
        <v>21</v>
      </c>
      <c r="D131" t="s">
        <v>278</v>
      </c>
      <c r="E131" t="s">
        <v>20</v>
      </c>
      <c r="F131" s="9">
        <v>2.02</v>
      </c>
      <c r="G131" s="8">
        <v>2028</v>
      </c>
      <c r="H131" s="9">
        <v>72.91</v>
      </c>
      <c r="I131" t="s">
        <v>13</v>
      </c>
      <c r="J131" s="15" t="s">
        <v>14</v>
      </c>
    </row>
    <row r="132" spans="1:10">
      <c r="A132">
        <v>3797</v>
      </c>
      <c r="B132" t="s">
        <v>279</v>
      </c>
      <c r="C132" s="8">
        <v>21</v>
      </c>
      <c r="D132" t="s">
        <v>280</v>
      </c>
      <c r="E132" t="s">
        <v>20</v>
      </c>
      <c r="F132" s="9">
        <v>3.37</v>
      </c>
      <c r="G132" s="8">
        <v>2029</v>
      </c>
      <c r="H132" s="9">
        <v>65.91</v>
      </c>
      <c r="I132" t="s">
        <v>13</v>
      </c>
      <c r="J132" s="15" t="s">
        <v>21</v>
      </c>
    </row>
    <row r="133" spans="1:10">
      <c r="A133">
        <v>7752</v>
      </c>
      <c r="B133" t="s">
        <v>281</v>
      </c>
      <c r="C133" s="8">
        <v>18</v>
      </c>
      <c r="D133" t="s">
        <v>282</v>
      </c>
      <c r="E133" t="s">
        <v>20</v>
      </c>
      <c r="F133" s="9">
        <v>3.72</v>
      </c>
      <c r="G133" s="8">
        <v>2026</v>
      </c>
      <c r="H133" s="9">
        <v>71.37</v>
      </c>
      <c r="I133" t="s">
        <v>13</v>
      </c>
      <c r="J133" s="15" t="s">
        <v>14</v>
      </c>
    </row>
    <row r="134" spans="1:10">
      <c r="A134">
        <v>8473</v>
      </c>
      <c r="B134" t="s">
        <v>283</v>
      </c>
      <c r="C134" s="8">
        <v>21</v>
      </c>
      <c r="D134" t="s">
        <v>284</v>
      </c>
      <c r="E134" t="s">
        <v>34</v>
      </c>
      <c r="F134" s="9">
        <v>2.04</v>
      </c>
      <c r="G134" s="8">
        <v>2024</v>
      </c>
      <c r="H134" s="9">
        <v>91.17</v>
      </c>
      <c r="I134" t="s">
        <v>13</v>
      </c>
      <c r="J134" s="15" t="s">
        <v>21</v>
      </c>
    </row>
    <row r="135" spans="1:10">
      <c r="A135">
        <v>1613</v>
      </c>
      <c r="B135" t="s">
        <v>285</v>
      </c>
      <c r="C135" s="8">
        <v>22</v>
      </c>
      <c r="D135" t="s">
        <v>286</v>
      </c>
      <c r="E135" t="s">
        <v>17</v>
      </c>
      <c r="F135" s="9">
        <v>2.08</v>
      </c>
      <c r="G135" s="8">
        <v>2026</v>
      </c>
      <c r="H135" s="9">
        <v>80.92</v>
      </c>
      <c r="I135" t="s">
        <v>13</v>
      </c>
      <c r="J135" s="15" t="s">
        <v>21</v>
      </c>
    </row>
    <row r="136" spans="1:10">
      <c r="A136">
        <v>8298</v>
      </c>
      <c r="B136" t="s">
        <v>287</v>
      </c>
      <c r="C136" s="8">
        <v>24</v>
      </c>
      <c r="D136" t="s">
        <v>288</v>
      </c>
      <c r="E136" t="s">
        <v>34</v>
      </c>
      <c r="F136" s="9">
        <v>2.5</v>
      </c>
      <c r="G136" s="8">
        <v>2027</v>
      </c>
      <c r="H136" s="9">
        <v>61.36</v>
      </c>
      <c r="I136" t="s">
        <v>13</v>
      </c>
      <c r="J136" s="15" t="s">
        <v>21</v>
      </c>
    </row>
    <row r="137" spans="1:10">
      <c r="A137">
        <v>6502</v>
      </c>
      <c r="B137" t="s">
        <v>289</v>
      </c>
      <c r="C137" s="8">
        <v>22</v>
      </c>
      <c r="D137" t="s">
        <v>290</v>
      </c>
      <c r="E137" t="s">
        <v>20</v>
      </c>
      <c r="F137" s="9">
        <v>2.9</v>
      </c>
      <c r="G137" s="8">
        <v>2030</v>
      </c>
      <c r="H137" s="9">
        <v>99.3</v>
      </c>
      <c r="I137" t="s">
        <v>13</v>
      </c>
      <c r="J137" s="15" t="s">
        <v>21</v>
      </c>
    </row>
    <row r="138" spans="1:10">
      <c r="A138">
        <v>7506</v>
      </c>
      <c r="B138" t="s">
        <v>291</v>
      </c>
      <c r="C138" s="8">
        <v>18</v>
      </c>
      <c r="D138" t="s">
        <v>292</v>
      </c>
      <c r="E138" t="s">
        <v>17</v>
      </c>
      <c r="F138" s="9">
        <v>3.18</v>
      </c>
      <c r="G138" s="8">
        <v>2024</v>
      </c>
      <c r="H138" s="9">
        <v>84.64</v>
      </c>
      <c r="I138" t="s">
        <v>13</v>
      </c>
      <c r="J138" s="15" t="s">
        <v>21</v>
      </c>
    </row>
    <row r="139" spans="1:10">
      <c r="A139">
        <v>4633</v>
      </c>
      <c r="B139" t="s">
        <v>293</v>
      </c>
      <c r="C139" s="8">
        <v>24</v>
      </c>
      <c r="D139" t="s">
        <v>294</v>
      </c>
      <c r="E139" t="s">
        <v>34</v>
      </c>
      <c r="F139" s="9">
        <v>3.77</v>
      </c>
      <c r="G139" s="8">
        <v>2024</v>
      </c>
      <c r="H139" s="9">
        <v>62.36</v>
      </c>
      <c r="I139" t="s">
        <v>13</v>
      </c>
      <c r="J139" s="15" t="s">
        <v>21</v>
      </c>
    </row>
    <row r="140" spans="1:10">
      <c r="A140">
        <v>9239</v>
      </c>
      <c r="B140" t="s">
        <v>295</v>
      </c>
      <c r="C140" s="8">
        <v>21</v>
      </c>
      <c r="D140" t="s">
        <v>296</v>
      </c>
      <c r="E140" t="s">
        <v>12</v>
      </c>
      <c r="F140" s="9">
        <v>2.02</v>
      </c>
      <c r="G140" s="8">
        <v>2026</v>
      </c>
      <c r="H140" s="9">
        <v>86.45</v>
      </c>
      <c r="I140" t="s">
        <v>13</v>
      </c>
      <c r="J140" s="15" t="s">
        <v>14</v>
      </c>
    </row>
    <row r="141" spans="1:10">
      <c r="A141">
        <v>9872</v>
      </c>
      <c r="B141" t="s">
        <v>297</v>
      </c>
      <c r="C141" s="8">
        <v>25</v>
      </c>
      <c r="D141" t="s">
        <v>298</v>
      </c>
      <c r="E141" t="s">
        <v>12</v>
      </c>
      <c r="F141" s="9">
        <v>3.26</v>
      </c>
      <c r="G141" s="8">
        <v>2027</v>
      </c>
      <c r="H141" s="9">
        <v>75.13</v>
      </c>
      <c r="I141" t="s">
        <v>13</v>
      </c>
      <c r="J141" s="15" t="s">
        <v>14</v>
      </c>
    </row>
    <row r="142" spans="1:10">
      <c r="A142">
        <v>6585</v>
      </c>
      <c r="B142" t="s">
        <v>299</v>
      </c>
      <c r="C142" s="8">
        <v>21</v>
      </c>
      <c r="D142" t="s">
        <v>300</v>
      </c>
      <c r="E142" t="s">
        <v>12</v>
      </c>
      <c r="F142" s="9">
        <v>2.3</v>
      </c>
      <c r="G142" s="8">
        <v>2024</v>
      </c>
      <c r="H142" s="9">
        <v>65.43</v>
      </c>
      <c r="I142" t="s">
        <v>13</v>
      </c>
      <c r="J142" s="15" t="s">
        <v>21</v>
      </c>
    </row>
    <row r="143" spans="1:10">
      <c r="A143">
        <v>1594</v>
      </c>
      <c r="B143" t="s">
        <v>301</v>
      </c>
      <c r="C143" s="8">
        <v>23</v>
      </c>
      <c r="D143" t="s">
        <v>302</v>
      </c>
      <c r="E143" t="s">
        <v>20</v>
      </c>
      <c r="F143" s="9">
        <v>3.86</v>
      </c>
      <c r="G143" s="8">
        <v>2028</v>
      </c>
      <c r="H143" s="9">
        <v>82.55</v>
      </c>
      <c r="I143" t="s">
        <v>13</v>
      </c>
      <c r="J143" s="15" t="s">
        <v>14</v>
      </c>
    </row>
    <row r="144" spans="1:10">
      <c r="A144">
        <v>7265</v>
      </c>
      <c r="B144" t="s">
        <v>303</v>
      </c>
      <c r="C144" s="8">
        <v>25</v>
      </c>
      <c r="D144" t="s">
        <v>304</v>
      </c>
      <c r="E144" t="s">
        <v>17</v>
      </c>
      <c r="F144" s="9">
        <v>3.98</v>
      </c>
      <c r="G144" s="8">
        <v>2030</v>
      </c>
      <c r="H144" s="9">
        <v>89.08</v>
      </c>
      <c r="I144" t="s">
        <v>13</v>
      </c>
      <c r="J144" s="15" t="s">
        <v>14</v>
      </c>
    </row>
    <row r="145" spans="1:10">
      <c r="A145">
        <v>9985</v>
      </c>
      <c r="B145" t="s">
        <v>305</v>
      </c>
      <c r="C145" s="8">
        <v>19</v>
      </c>
      <c r="D145" t="s">
        <v>306</v>
      </c>
      <c r="E145" t="s">
        <v>17</v>
      </c>
      <c r="F145" s="9">
        <v>3.07</v>
      </c>
      <c r="G145" s="8">
        <v>2030</v>
      </c>
      <c r="H145" s="9">
        <v>86.85</v>
      </c>
      <c r="I145" t="s">
        <v>13</v>
      </c>
      <c r="J145" s="15" t="s">
        <v>14</v>
      </c>
    </row>
    <row r="146" spans="1:10">
      <c r="A146">
        <v>9204</v>
      </c>
      <c r="B146" t="s">
        <v>307</v>
      </c>
      <c r="C146" s="8">
        <v>22</v>
      </c>
      <c r="D146" t="s">
        <v>308</v>
      </c>
      <c r="E146" t="s">
        <v>17</v>
      </c>
      <c r="F146" s="9">
        <v>2.14</v>
      </c>
      <c r="G146" s="8">
        <v>2024</v>
      </c>
      <c r="H146" s="9">
        <v>69.9</v>
      </c>
      <c r="I146" t="s">
        <v>13</v>
      </c>
      <c r="J146" s="15" t="s">
        <v>21</v>
      </c>
    </row>
    <row r="147" spans="1:10">
      <c r="A147">
        <v>1959</v>
      </c>
      <c r="B147" t="s">
        <v>309</v>
      </c>
      <c r="C147" s="8">
        <v>21</v>
      </c>
      <c r="D147" t="s">
        <v>310</v>
      </c>
      <c r="E147" t="s">
        <v>70</v>
      </c>
      <c r="F147" s="9">
        <v>3.85</v>
      </c>
      <c r="G147" s="8">
        <v>2030</v>
      </c>
      <c r="H147" s="9">
        <v>80.99</v>
      </c>
      <c r="I147" t="s">
        <v>13</v>
      </c>
      <c r="J147" s="15" t="s">
        <v>14</v>
      </c>
    </row>
    <row r="148" spans="1:10">
      <c r="A148">
        <v>4036</v>
      </c>
      <c r="B148" t="s">
        <v>311</v>
      </c>
      <c r="C148" s="8">
        <v>18</v>
      </c>
      <c r="D148" t="s">
        <v>312</v>
      </c>
      <c r="E148" t="s">
        <v>34</v>
      </c>
      <c r="F148" s="9">
        <v>3.19</v>
      </c>
      <c r="G148" s="8">
        <v>2028</v>
      </c>
      <c r="H148" s="9">
        <v>81.51</v>
      </c>
      <c r="I148" t="s">
        <v>13</v>
      </c>
      <c r="J148" s="15" t="s">
        <v>14</v>
      </c>
    </row>
    <row r="149" spans="1:10">
      <c r="A149">
        <v>3694</v>
      </c>
      <c r="B149" t="s">
        <v>313</v>
      </c>
      <c r="C149" s="8">
        <v>24</v>
      </c>
      <c r="D149" t="s">
        <v>314</v>
      </c>
      <c r="E149" t="s">
        <v>17</v>
      </c>
      <c r="F149" s="9">
        <v>2.03</v>
      </c>
      <c r="G149" s="8">
        <v>2026</v>
      </c>
      <c r="H149" s="9">
        <v>88.67</v>
      </c>
      <c r="I149" t="s">
        <v>13</v>
      </c>
      <c r="J149" s="15" t="s">
        <v>14</v>
      </c>
    </row>
    <row r="150" spans="1:10">
      <c r="A150">
        <v>7829</v>
      </c>
      <c r="B150" t="s">
        <v>315</v>
      </c>
      <c r="C150" s="8">
        <v>21</v>
      </c>
      <c r="D150" t="s">
        <v>316</v>
      </c>
      <c r="E150" t="s">
        <v>20</v>
      </c>
      <c r="F150" s="9">
        <v>3.64</v>
      </c>
      <c r="G150" s="8">
        <v>2029</v>
      </c>
      <c r="H150" s="9">
        <v>74.39</v>
      </c>
      <c r="I150" t="s">
        <v>13</v>
      </c>
      <c r="J150" s="15" t="s">
        <v>14</v>
      </c>
    </row>
    <row r="151" spans="1:10">
      <c r="A151">
        <v>8694</v>
      </c>
      <c r="B151" t="s">
        <v>317</v>
      </c>
      <c r="C151" s="8">
        <v>19</v>
      </c>
      <c r="D151" t="s">
        <v>318</v>
      </c>
      <c r="E151" t="s">
        <v>70</v>
      </c>
      <c r="F151" s="9">
        <v>2.55</v>
      </c>
      <c r="G151" s="8">
        <v>2029</v>
      </c>
      <c r="H151" s="9">
        <v>91.91</v>
      </c>
      <c r="I151" t="s">
        <v>13</v>
      </c>
      <c r="J151" s="15" t="s">
        <v>21</v>
      </c>
    </row>
    <row r="152" spans="1:10">
      <c r="A152">
        <v>9382</v>
      </c>
      <c r="B152" t="s">
        <v>319</v>
      </c>
      <c r="C152" s="8">
        <v>22</v>
      </c>
      <c r="D152" t="s">
        <v>320</v>
      </c>
      <c r="E152" t="s">
        <v>20</v>
      </c>
      <c r="F152" s="9">
        <v>2.71</v>
      </c>
      <c r="G152" s="8">
        <v>2025</v>
      </c>
      <c r="H152" s="9">
        <v>85.12</v>
      </c>
      <c r="I152" t="s">
        <v>13</v>
      </c>
      <c r="J152" s="15" t="s">
        <v>14</v>
      </c>
    </row>
    <row r="153" spans="1:10">
      <c r="A153">
        <v>1113</v>
      </c>
      <c r="B153" t="s">
        <v>321</v>
      </c>
      <c r="C153" s="8">
        <v>18</v>
      </c>
      <c r="D153" t="s">
        <v>322</v>
      </c>
      <c r="E153" t="s">
        <v>34</v>
      </c>
      <c r="F153" s="9">
        <v>2.51</v>
      </c>
      <c r="G153" s="8">
        <v>2028</v>
      </c>
      <c r="H153" s="9">
        <v>61.53</v>
      </c>
      <c r="I153" t="s">
        <v>13</v>
      </c>
      <c r="J153" s="15" t="s">
        <v>14</v>
      </c>
    </row>
    <row r="154" spans="1:10">
      <c r="A154">
        <v>7637</v>
      </c>
      <c r="B154" t="s">
        <v>323</v>
      </c>
      <c r="C154" s="8">
        <v>19</v>
      </c>
      <c r="D154" t="s">
        <v>324</v>
      </c>
      <c r="E154" t="s">
        <v>12</v>
      </c>
      <c r="F154" s="9">
        <v>3.99</v>
      </c>
      <c r="G154" s="8">
        <v>2029</v>
      </c>
      <c r="H154" s="9">
        <v>81.86</v>
      </c>
      <c r="I154" t="s">
        <v>13</v>
      </c>
      <c r="J154" s="15" t="s">
        <v>21</v>
      </c>
    </row>
    <row r="155" spans="1:10">
      <c r="A155">
        <v>6344</v>
      </c>
      <c r="B155" t="s">
        <v>325</v>
      </c>
      <c r="C155" s="8">
        <v>21</v>
      </c>
      <c r="D155" t="s">
        <v>326</v>
      </c>
      <c r="E155" t="s">
        <v>20</v>
      </c>
      <c r="F155" s="9">
        <v>3.47</v>
      </c>
      <c r="G155" s="8">
        <v>2024</v>
      </c>
      <c r="H155" s="9">
        <v>94.48</v>
      </c>
      <c r="I155" t="s">
        <v>13</v>
      </c>
      <c r="J155" s="15" t="s">
        <v>14</v>
      </c>
    </row>
    <row r="156" spans="1:10">
      <c r="A156">
        <v>5468</v>
      </c>
      <c r="B156" t="s">
        <v>327</v>
      </c>
      <c r="C156" s="8">
        <v>19</v>
      </c>
      <c r="D156" t="s">
        <v>328</v>
      </c>
      <c r="E156" t="s">
        <v>20</v>
      </c>
      <c r="F156" s="9">
        <v>3.78</v>
      </c>
      <c r="G156" s="8">
        <v>2025</v>
      </c>
      <c r="H156" s="9">
        <v>82.7</v>
      </c>
      <c r="I156" t="s">
        <v>13</v>
      </c>
      <c r="J156" s="15" t="s">
        <v>21</v>
      </c>
    </row>
    <row r="157" spans="1:10">
      <c r="A157">
        <v>2698</v>
      </c>
      <c r="B157" t="s">
        <v>329</v>
      </c>
      <c r="C157" s="8">
        <v>18</v>
      </c>
      <c r="D157" t="s">
        <v>330</v>
      </c>
      <c r="E157" t="s">
        <v>34</v>
      </c>
      <c r="F157" s="9">
        <v>3.71</v>
      </c>
      <c r="G157" s="8">
        <v>2030</v>
      </c>
      <c r="H157" s="9">
        <v>67.03</v>
      </c>
      <c r="I157" t="s">
        <v>13</v>
      </c>
      <c r="J157" s="15" t="s">
        <v>14</v>
      </c>
    </row>
    <row r="158" spans="1:10">
      <c r="A158">
        <v>7871</v>
      </c>
      <c r="B158" t="s">
        <v>331</v>
      </c>
      <c r="C158" s="8">
        <v>20</v>
      </c>
      <c r="D158" t="s">
        <v>332</v>
      </c>
      <c r="E158" t="s">
        <v>17</v>
      </c>
      <c r="F158" s="9">
        <v>2.59</v>
      </c>
      <c r="G158" s="8">
        <v>2027</v>
      </c>
      <c r="H158" s="9">
        <v>80.42</v>
      </c>
      <c r="I158" t="s">
        <v>13</v>
      </c>
      <c r="J158" s="15" t="s">
        <v>21</v>
      </c>
    </row>
    <row r="159" spans="1:10">
      <c r="A159">
        <v>8556</v>
      </c>
      <c r="B159" t="s">
        <v>333</v>
      </c>
      <c r="C159" s="8">
        <v>19</v>
      </c>
      <c r="D159" t="s">
        <v>334</v>
      </c>
      <c r="E159" t="s">
        <v>17</v>
      </c>
      <c r="F159" s="9">
        <v>2.62</v>
      </c>
      <c r="G159" s="8">
        <v>2029</v>
      </c>
      <c r="H159" s="9">
        <v>90.28</v>
      </c>
      <c r="I159" t="s">
        <v>13</v>
      </c>
      <c r="J159" s="15" t="s">
        <v>21</v>
      </c>
    </row>
    <row r="160" spans="1:10">
      <c r="A160">
        <v>5031</v>
      </c>
      <c r="B160" t="s">
        <v>335</v>
      </c>
      <c r="C160" s="8">
        <v>20</v>
      </c>
      <c r="D160" t="s">
        <v>336</v>
      </c>
      <c r="E160" t="s">
        <v>34</v>
      </c>
      <c r="F160" s="9">
        <v>3</v>
      </c>
      <c r="G160" s="8">
        <v>2025</v>
      </c>
      <c r="H160" s="9">
        <v>64.4</v>
      </c>
      <c r="I160" t="s">
        <v>13</v>
      </c>
      <c r="J160" s="15" t="s">
        <v>21</v>
      </c>
    </row>
    <row r="161" spans="1:10">
      <c r="A161">
        <v>2575</v>
      </c>
      <c r="B161" t="s">
        <v>337</v>
      </c>
      <c r="C161" s="8">
        <v>20</v>
      </c>
      <c r="D161" t="s">
        <v>338</v>
      </c>
      <c r="E161" t="s">
        <v>20</v>
      </c>
      <c r="F161" s="9">
        <v>2.78</v>
      </c>
      <c r="G161" s="8">
        <v>2029</v>
      </c>
      <c r="H161" s="9">
        <v>92.68</v>
      </c>
      <c r="I161" t="s">
        <v>13</v>
      </c>
      <c r="J161" s="15" t="s">
        <v>14</v>
      </c>
    </row>
    <row r="162" spans="1:10">
      <c r="A162">
        <v>2322</v>
      </c>
      <c r="B162" t="s">
        <v>339</v>
      </c>
      <c r="C162" s="8">
        <v>20</v>
      </c>
      <c r="D162" t="s">
        <v>340</v>
      </c>
      <c r="E162" t="s">
        <v>70</v>
      </c>
      <c r="F162" s="9">
        <v>2.45</v>
      </c>
      <c r="G162" s="8">
        <v>2026</v>
      </c>
      <c r="H162" s="9">
        <v>66.7</v>
      </c>
      <c r="I162" t="s">
        <v>13</v>
      </c>
      <c r="J162" s="15" t="s">
        <v>14</v>
      </c>
    </row>
    <row r="163" spans="1:10">
      <c r="A163">
        <v>9056</v>
      </c>
      <c r="B163" t="s">
        <v>341</v>
      </c>
      <c r="C163" s="8">
        <v>24</v>
      </c>
      <c r="D163" t="s">
        <v>342</v>
      </c>
      <c r="E163" t="s">
        <v>34</v>
      </c>
      <c r="F163" s="9">
        <v>2.58</v>
      </c>
      <c r="G163" s="8">
        <v>2025</v>
      </c>
      <c r="H163" s="9">
        <v>81.36</v>
      </c>
      <c r="I163" t="s">
        <v>13</v>
      </c>
      <c r="J163" s="15" t="s">
        <v>14</v>
      </c>
    </row>
    <row r="164" spans="1:10">
      <c r="A164">
        <v>6326</v>
      </c>
      <c r="B164" t="s">
        <v>343</v>
      </c>
      <c r="C164" s="8">
        <v>21</v>
      </c>
      <c r="D164" t="s">
        <v>344</v>
      </c>
      <c r="E164" t="s">
        <v>17</v>
      </c>
      <c r="F164" s="9">
        <v>2.98</v>
      </c>
      <c r="G164" s="8">
        <v>2029</v>
      </c>
      <c r="H164" s="9">
        <v>75.43</v>
      </c>
      <c r="I164" t="s">
        <v>55</v>
      </c>
      <c r="J164" s="15" t="s">
        <v>14</v>
      </c>
    </row>
    <row r="165" spans="1:10">
      <c r="A165">
        <v>8790</v>
      </c>
      <c r="B165" t="s">
        <v>345</v>
      </c>
      <c r="C165" s="8">
        <v>23</v>
      </c>
      <c r="D165" t="s">
        <v>346</v>
      </c>
      <c r="E165" t="s">
        <v>20</v>
      </c>
      <c r="F165" s="9">
        <v>3.14</v>
      </c>
      <c r="G165" s="8">
        <v>2028</v>
      </c>
      <c r="H165" s="9">
        <v>69.94</v>
      </c>
      <c r="I165" t="s">
        <v>13</v>
      </c>
      <c r="J165" s="15" t="s">
        <v>14</v>
      </c>
    </row>
    <row r="166" spans="1:10">
      <c r="A166">
        <v>3873</v>
      </c>
      <c r="B166" t="s">
        <v>347</v>
      </c>
      <c r="C166" s="8">
        <v>22</v>
      </c>
      <c r="D166" t="s">
        <v>348</v>
      </c>
      <c r="E166" t="s">
        <v>34</v>
      </c>
      <c r="F166" s="9">
        <v>3.59</v>
      </c>
      <c r="G166" s="8">
        <v>2026</v>
      </c>
      <c r="H166" s="9">
        <v>85.9</v>
      </c>
      <c r="I166" t="s">
        <v>13</v>
      </c>
      <c r="J166" s="15" t="s">
        <v>14</v>
      </c>
    </row>
    <row r="167" spans="1:10">
      <c r="A167">
        <v>3176</v>
      </c>
      <c r="B167" t="s">
        <v>349</v>
      </c>
      <c r="C167" s="8">
        <v>22</v>
      </c>
      <c r="D167" t="s">
        <v>350</v>
      </c>
      <c r="E167" t="s">
        <v>17</v>
      </c>
      <c r="F167" s="9">
        <v>2.22</v>
      </c>
      <c r="G167" s="8">
        <v>2030</v>
      </c>
      <c r="H167" s="9">
        <v>61.5</v>
      </c>
      <c r="I167" t="s">
        <v>13</v>
      </c>
      <c r="J167" s="15" t="s">
        <v>21</v>
      </c>
    </row>
    <row r="168" spans="1:10">
      <c r="A168">
        <v>9203</v>
      </c>
      <c r="B168" t="s">
        <v>351</v>
      </c>
      <c r="C168" s="8">
        <v>19</v>
      </c>
      <c r="D168" t="s">
        <v>352</v>
      </c>
      <c r="E168" t="s">
        <v>20</v>
      </c>
      <c r="F168" s="9">
        <v>3.12</v>
      </c>
      <c r="G168" s="8">
        <v>2027</v>
      </c>
      <c r="H168" s="9">
        <v>90.4</v>
      </c>
      <c r="I168" t="s">
        <v>13</v>
      </c>
      <c r="J168" s="15" t="s">
        <v>14</v>
      </c>
    </row>
    <row r="169" spans="1:10">
      <c r="A169">
        <v>9676</v>
      </c>
      <c r="B169" t="s">
        <v>353</v>
      </c>
      <c r="C169" s="8">
        <v>24</v>
      </c>
      <c r="D169" t="s">
        <v>354</v>
      </c>
      <c r="E169" t="s">
        <v>34</v>
      </c>
      <c r="F169" s="9">
        <v>3.44</v>
      </c>
      <c r="G169" s="8">
        <v>2028</v>
      </c>
      <c r="H169" s="9">
        <v>81.08</v>
      </c>
      <c r="I169" t="s">
        <v>13</v>
      </c>
      <c r="J169" s="15" t="s">
        <v>21</v>
      </c>
    </row>
    <row r="170" spans="1:10">
      <c r="A170">
        <v>2142</v>
      </c>
      <c r="B170" t="s">
        <v>355</v>
      </c>
      <c r="C170" s="8">
        <v>25</v>
      </c>
      <c r="D170" t="s">
        <v>356</v>
      </c>
      <c r="E170" t="s">
        <v>17</v>
      </c>
      <c r="F170" s="9">
        <v>2.54</v>
      </c>
      <c r="G170" s="8">
        <v>2028</v>
      </c>
      <c r="H170" s="9">
        <v>95.03</v>
      </c>
      <c r="I170" t="s">
        <v>13</v>
      </c>
      <c r="J170" s="15" t="s">
        <v>21</v>
      </c>
    </row>
    <row r="171" spans="1:10">
      <c r="A171">
        <v>4138</v>
      </c>
      <c r="B171" t="s">
        <v>357</v>
      </c>
      <c r="C171" s="8">
        <v>23</v>
      </c>
      <c r="D171" t="s">
        <v>358</v>
      </c>
      <c r="E171" t="s">
        <v>70</v>
      </c>
      <c r="F171" s="9">
        <v>2.1</v>
      </c>
      <c r="G171" s="8">
        <v>2029</v>
      </c>
      <c r="H171" s="9">
        <v>80.83</v>
      </c>
      <c r="I171" t="s">
        <v>13</v>
      </c>
      <c r="J171" s="15" t="s">
        <v>21</v>
      </c>
    </row>
    <row r="172" spans="1:10">
      <c r="A172">
        <v>8314</v>
      </c>
      <c r="B172" t="s">
        <v>359</v>
      </c>
      <c r="C172" s="8">
        <v>25</v>
      </c>
      <c r="D172" t="s">
        <v>360</v>
      </c>
      <c r="E172" t="s">
        <v>70</v>
      </c>
      <c r="F172" s="9">
        <v>3.98</v>
      </c>
      <c r="G172" s="8">
        <v>2027</v>
      </c>
      <c r="H172" s="9">
        <v>61.4</v>
      </c>
      <c r="I172" t="s">
        <v>13</v>
      </c>
      <c r="J172" s="15" t="s">
        <v>21</v>
      </c>
    </row>
    <row r="173" spans="1:10">
      <c r="A173">
        <v>9826</v>
      </c>
      <c r="B173" t="s">
        <v>361</v>
      </c>
      <c r="C173" s="8">
        <v>19</v>
      </c>
      <c r="D173" t="s">
        <v>362</v>
      </c>
      <c r="E173" t="s">
        <v>34</v>
      </c>
      <c r="F173" s="9">
        <v>3.71</v>
      </c>
      <c r="G173" s="8">
        <v>2026</v>
      </c>
      <c r="H173" s="9">
        <v>65.74</v>
      </c>
      <c r="I173" t="s">
        <v>13</v>
      </c>
      <c r="J173" s="15" t="s">
        <v>21</v>
      </c>
    </row>
    <row r="174" spans="1:10">
      <c r="A174">
        <v>5149</v>
      </c>
      <c r="B174" t="s">
        <v>363</v>
      </c>
      <c r="C174" s="8">
        <v>25</v>
      </c>
      <c r="D174" t="s">
        <v>364</v>
      </c>
      <c r="E174" t="s">
        <v>70</v>
      </c>
      <c r="F174" s="9">
        <v>2.98</v>
      </c>
      <c r="G174" s="8">
        <v>2029</v>
      </c>
      <c r="H174" s="9">
        <v>91.82</v>
      </c>
      <c r="I174" t="s">
        <v>13</v>
      </c>
      <c r="J174" s="15" t="s">
        <v>14</v>
      </c>
    </row>
    <row r="175" spans="1:10">
      <c r="A175">
        <v>9098</v>
      </c>
      <c r="B175" t="s">
        <v>365</v>
      </c>
      <c r="C175" s="8">
        <v>25</v>
      </c>
      <c r="D175" t="s">
        <v>366</v>
      </c>
      <c r="E175" t="s">
        <v>20</v>
      </c>
      <c r="F175" s="9">
        <v>2.01</v>
      </c>
      <c r="G175" s="8">
        <v>2030</v>
      </c>
      <c r="H175" s="9">
        <v>79.68</v>
      </c>
      <c r="I175" t="s">
        <v>13</v>
      </c>
      <c r="J175" s="15" t="s">
        <v>21</v>
      </c>
    </row>
    <row r="176" spans="1:10">
      <c r="A176">
        <v>2991</v>
      </c>
      <c r="B176" t="s">
        <v>367</v>
      </c>
      <c r="C176" s="8">
        <v>25</v>
      </c>
      <c r="D176" t="s">
        <v>368</v>
      </c>
      <c r="E176" t="s">
        <v>20</v>
      </c>
      <c r="F176" s="9">
        <v>2.09</v>
      </c>
      <c r="G176" s="8">
        <v>2027</v>
      </c>
      <c r="H176" s="9">
        <v>77.68</v>
      </c>
      <c r="I176" t="s">
        <v>13</v>
      </c>
      <c r="J176" s="15" t="s">
        <v>14</v>
      </c>
    </row>
    <row r="177" spans="1:10">
      <c r="A177">
        <v>6780</v>
      </c>
      <c r="B177" t="s">
        <v>369</v>
      </c>
      <c r="C177" s="8">
        <v>22</v>
      </c>
      <c r="D177" t="s">
        <v>370</v>
      </c>
      <c r="E177" t="s">
        <v>20</v>
      </c>
      <c r="F177" s="9">
        <v>3.11</v>
      </c>
      <c r="G177" s="8">
        <v>2025</v>
      </c>
      <c r="H177" s="9">
        <v>72.74</v>
      </c>
      <c r="I177" t="s">
        <v>13</v>
      </c>
      <c r="J177" s="15" t="s">
        <v>21</v>
      </c>
    </row>
    <row r="178" spans="1:10">
      <c r="A178">
        <v>1363</v>
      </c>
      <c r="B178" t="s">
        <v>371</v>
      </c>
      <c r="C178" s="8">
        <v>19</v>
      </c>
      <c r="D178" t="s">
        <v>372</v>
      </c>
      <c r="E178" t="s">
        <v>34</v>
      </c>
      <c r="F178" s="9">
        <v>2</v>
      </c>
      <c r="G178" s="8">
        <v>2027</v>
      </c>
      <c r="H178" s="9">
        <v>71.38</v>
      </c>
      <c r="I178" t="s">
        <v>13</v>
      </c>
      <c r="J178" s="15" t="s">
        <v>14</v>
      </c>
    </row>
    <row r="179" spans="1:10">
      <c r="A179">
        <v>6589</v>
      </c>
      <c r="B179" t="s">
        <v>373</v>
      </c>
      <c r="C179" s="8">
        <v>22</v>
      </c>
      <c r="D179" t="s">
        <v>374</v>
      </c>
      <c r="E179" t="s">
        <v>34</v>
      </c>
      <c r="F179" s="9">
        <v>3.9</v>
      </c>
      <c r="G179" s="8">
        <v>2028</v>
      </c>
      <c r="H179" s="9">
        <v>98.64</v>
      </c>
      <c r="I179" t="s">
        <v>13</v>
      </c>
      <c r="J179" s="15" t="s">
        <v>14</v>
      </c>
    </row>
    <row r="180" spans="1:10">
      <c r="A180">
        <v>9377</v>
      </c>
      <c r="B180" t="s">
        <v>375</v>
      </c>
      <c r="C180" s="8">
        <v>24</v>
      </c>
      <c r="D180" t="s">
        <v>376</v>
      </c>
      <c r="E180" t="s">
        <v>12</v>
      </c>
      <c r="F180" s="9">
        <v>2.63</v>
      </c>
      <c r="G180" s="8">
        <v>2029</v>
      </c>
      <c r="H180" s="9">
        <v>77.32</v>
      </c>
      <c r="I180" t="s">
        <v>13</v>
      </c>
      <c r="J180" s="15" t="s">
        <v>14</v>
      </c>
    </row>
    <row r="181" spans="1:10">
      <c r="A181">
        <v>2982</v>
      </c>
      <c r="B181" t="s">
        <v>377</v>
      </c>
      <c r="C181" s="8">
        <v>18</v>
      </c>
      <c r="D181" t="s">
        <v>378</v>
      </c>
      <c r="E181" t="s">
        <v>70</v>
      </c>
      <c r="F181" s="9">
        <v>2.61</v>
      </c>
      <c r="G181" s="8">
        <v>2028</v>
      </c>
      <c r="H181" s="9">
        <v>95.36</v>
      </c>
      <c r="I181" t="s">
        <v>13</v>
      </c>
      <c r="J181" s="15" t="s">
        <v>21</v>
      </c>
    </row>
    <row r="182" spans="1:10">
      <c r="A182">
        <v>7186</v>
      </c>
      <c r="B182" t="s">
        <v>379</v>
      </c>
      <c r="C182" s="8">
        <v>22</v>
      </c>
      <c r="D182" t="s">
        <v>380</v>
      </c>
      <c r="E182" t="s">
        <v>20</v>
      </c>
      <c r="F182" s="9">
        <v>2.04</v>
      </c>
      <c r="G182" s="8">
        <v>2026</v>
      </c>
      <c r="H182" s="9">
        <v>85.93</v>
      </c>
      <c r="I182" t="s">
        <v>13</v>
      </c>
      <c r="J182" s="15" t="s">
        <v>14</v>
      </c>
    </row>
    <row r="183" spans="1:10">
      <c r="A183">
        <v>4265</v>
      </c>
      <c r="B183" t="s">
        <v>381</v>
      </c>
      <c r="C183" s="8">
        <v>21</v>
      </c>
      <c r="D183" t="s">
        <v>382</v>
      </c>
      <c r="E183" t="s">
        <v>12</v>
      </c>
      <c r="F183" s="9">
        <v>3.27</v>
      </c>
      <c r="G183" s="8">
        <v>2026</v>
      </c>
      <c r="H183" s="9">
        <v>94.34</v>
      </c>
      <c r="I183" t="s">
        <v>13</v>
      </c>
      <c r="J183" s="15" t="s">
        <v>14</v>
      </c>
    </row>
    <row r="184" spans="1:10">
      <c r="A184">
        <v>9696</v>
      </c>
      <c r="B184" t="s">
        <v>383</v>
      </c>
      <c r="C184" s="8">
        <v>24</v>
      </c>
      <c r="D184" t="s">
        <v>384</v>
      </c>
      <c r="E184" t="s">
        <v>17</v>
      </c>
      <c r="F184" s="9">
        <v>3.27</v>
      </c>
      <c r="G184" s="8">
        <v>2029</v>
      </c>
      <c r="H184" s="9">
        <v>94.1</v>
      </c>
      <c r="I184" t="s">
        <v>13</v>
      </c>
      <c r="J184" s="15" t="s">
        <v>21</v>
      </c>
    </row>
    <row r="185" spans="1:10">
      <c r="A185">
        <v>8291</v>
      </c>
      <c r="B185" t="s">
        <v>385</v>
      </c>
      <c r="C185" s="8">
        <v>24</v>
      </c>
      <c r="D185" t="s">
        <v>386</v>
      </c>
      <c r="E185" t="s">
        <v>12</v>
      </c>
      <c r="F185" s="9">
        <v>3.41</v>
      </c>
      <c r="G185" s="8">
        <v>2029</v>
      </c>
      <c r="H185" s="9">
        <v>98.25</v>
      </c>
      <c r="I185" t="s">
        <v>13</v>
      </c>
      <c r="J185" s="15" t="s">
        <v>21</v>
      </c>
    </row>
    <row r="186" spans="1:10">
      <c r="A186">
        <v>5094</v>
      </c>
      <c r="B186" t="s">
        <v>387</v>
      </c>
      <c r="C186" s="8">
        <v>24</v>
      </c>
      <c r="D186" t="s">
        <v>388</v>
      </c>
      <c r="E186" t="s">
        <v>34</v>
      </c>
      <c r="F186" s="9">
        <v>2.08</v>
      </c>
      <c r="G186" s="8">
        <v>2030</v>
      </c>
      <c r="H186" s="9">
        <v>87.92</v>
      </c>
      <c r="I186" t="s">
        <v>13</v>
      </c>
      <c r="J186" s="15" t="s">
        <v>14</v>
      </c>
    </row>
    <row r="187" spans="1:10">
      <c r="A187">
        <v>7933</v>
      </c>
      <c r="B187" t="s">
        <v>389</v>
      </c>
      <c r="C187" s="8">
        <v>23</v>
      </c>
      <c r="D187" t="s">
        <v>390</v>
      </c>
      <c r="E187" t="s">
        <v>20</v>
      </c>
      <c r="F187" s="9">
        <v>3.96</v>
      </c>
      <c r="G187" s="8">
        <v>2026</v>
      </c>
      <c r="H187" s="9">
        <v>92.22</v>
      </c>
      <c r="I187" t="s">
        <v>13</v>
      </c>
      <c r="J187" s="15" t="s">
        <v>21</v>
      </c>
    </row>
    <row r="188" spans="1:10">
      <c r="A188">
        <v>2962</v>
      </c>
      <c r="B188" t="s">
        <v>391</v>
      </c>
      <c r="C188" s="8">
        <v>24</v>
      </c>
      <c r="D188" t="s">
        <v>392</v>
      </c>
      <c r="E188" t="s">
        <v>20</v>
      </c>
      <c r="F188" s="9">
        <v>3.42</v>
      </c>
      <c r="G188" s="8">
        <v>2026</v>
      </c>
      <c r="H188" s="9">
        <v>89.33</v>
      </c>
      <c r="I188" t="s">
        <v>13</v>
      </c>
      <c r="J188" s="15" t="s">
        <v>21</v>
      </c>
    </row>
    <row r="189" spans="1:10">
      <c r="A189">
        <v>7780</v>
      </c>
      <c r="B189" t="s">
        <v>393</v>
      </c>
      <c r="C189" s="8">
        <v>21</v>
      </c>
      <c r="D189" t="s">
        <v>394</v>
      </c>
      <c r="E189" t="s">
        <v>12</v>
      </c>
      <c r="F189" s="9">
        <v>2.51</v>
      </c>
      <c r="G189" s="8">
        <v>2030</v>
      </c>
      <c r="H189" s="9">
        <v>84.21</v>
      </c>
      <c r="I189" t="s">
        <v>13</v>
      </c>
      <c r="J189" s="15" t="s">
        <v>14</v>
      </c>
    </row>
    <row r="190" spans="1:10">
      <c r="A190">
        <v>8082</v>
      </c>
      <c r="B190" t="s">
        <v>395</v>
      </c>
      <c r="C190" s="8">
        <v>21</v>
      </c>
      <c r="D190" t="s">
        <v>396</v>
      </c>
      <c r="E190" t="s">
        <v>17</v>
      </c>
      <c r="F190" s="9">
        <v>2.14</v>
      </c>
      <c r="G190" s="8">
        <v>2026</v>
      </c>
      <c r="H190" s="9">
        <v>88.69</v>
      </c>
      <c r="I190" t="s">
        <v>13</v>
      </c>
      <c r="J190" s="15" t="s">
        <v>14</v>
      </c>
    </row>
    <row r="191" spans="1:10">
      <c r="A191">
        <v>7240</v>
      </c>
      <c r="B191" t="s">
        <v>397</v>
      </c>
      <c r="C191" s="8">
        <v>22</v>
      </c>
      <c r="D191" t="s">
        <v>398</v>
      </c>
      <c r="E191" t="s">
        <v>70</v>
      </c>
      <c r="F191" s="9">
        <v>2.34</v>
      </c>
      <c r="G191" s="8">
        <v>2029</v>
      </c>
      <c r="H191" s="9">
        <v>88.63</v>
      </c>
      <c r="I191" t="s">
        <v>13</v>
      </c>
      <c r="J191" s="15" t="s">
        <v>14</v>
      </c>
    </row>
    <row r="192" spans="1:10">
      <c r="A192">
        <v>3033</v>
      </c>
      <c r="B192" t="s">
        <v>399</v>
      </c>
      <c r="C192" s="8">
        <v>21</v>
      </c>
      <c r="D192" t="s">
        <v>400</v>
      </c>
      <c r="E192" t="s">
        <v>12</v>
      </c>
      <c r="F192" s="9">
        <v>2.92</v>
      </c>
      <c r="G192" s="8">
        <v>2030</v>
      </c>
      <c r="H192" s="9">
        <v>61.64</v>
      </c>
      <c r="I192" t="s">
        <v>13</v>
      </c>
      <c r="J192" s="15" t="s">
        <v>14</v>
      </c>
    </row>
    <row r="193" spans="1:10">
      <c r="A193">
        <v>2538</v>
      </c>
      <c r="B193" t="s">
        <v>401</v>
      </c>
      <c r="C193" s="8">
        <v>23</v>
      </c>
      <c r="D193" t="s">
        <v>402</v>
      </c>
      <c r="E193" t="s">
        <v>20</v>
      </c>
      <c r="F193" s="9">
        <v>2.24</v>
      </c>
      <c r="G193" s="8">
        <v>2025</v>
      </c>
      <c r="H193" s="9">
        <v>80.64</v>
      </c>
      <c r="I193" t="s">
        <v>13</v>
      </c>
      <c r="J193" s="15" t="s">
        <v>21</v>
      </c>
    </row>
    <row r="194" spans="1:10">
      <c r="A194">
        <v>3406</v>
      </c>
      <c r="B194" t="s">
        <v>403</v>
      </c>
      <c r="C194" s="8">
        <v>25</v>
      </c>
      <c r="D194" t="s">
        <v>404</v>
      </c>
      <c r="E194" t="s">
        <v>34</v>
      </c>
      <c r="F194" s="9">
        <v>2.06</v>
      </c>
      <c r="G194" s="8">
        <v>2026</v>
      </c>
      <c r="H194" s="9">
        <v>91.71</v>
      </c>
      <c r="I194" t="s">
        <v>13</v>
      </c>
      <c r="J194" s="15" t="s">
        <v>14</v>
      </c>
    </row>
    <row r="195" spans="1:10">
      <c r="A195">
        <v>5615</v>
      </c>
      <c r="B195" t="s">
        <v>405</v>
      </c>
      <c r="C195" s="8">
        <v>18</v>
      </c>
      <c r="D195" t="s">
        <v>406</v>
      </c>
      <c r="E195" t="s">
        <v>70</v>
      </c>
      <c r="F195" s="9">
        <v>2.17</v>
      </c>
      <c r="G195" s="8">
        <v>2029</v>
      </c>
      <c r="H195" s="9">
        <v>69.72</v>
      </c>
      <c r="I195" t="s">
        <v>13</v>
      </c>
      <c r="J195" s="15" t="s">
        <v>21</v>
      </c>
    </row>
    <row r="196" spans="1:10">
      <c r="A196">
        <v>3994</v>
      </c>
      <c r="B196" t="s">
        <v>407</v>
      </c>
      <c r="C196" s="8">
        <v>23</v>
      </c>
      <c r="D196" t="s">
        <v>408</v>
      </c>
      <c r="E196" t="s">
        <v>17</v>
      </c>
      <c r="F196" s="9">
        <v>2.57</v>
      </c>
      <c r="G196" s="8">
        <v>2026</v>
      </c>
      <c r="H196" s="9">
        <v>78.61</v>
      </c>
      <c r="I196" t="s">
        <v>13</v>
      </c>
      <c r="J196" s="15" t="s">
        <v>14</v>
      </c>
    </row>
    <row r="197" spans="1:10">
      <c r="A197">
        <v>3274</v>
      </c>
      <c r="B197" t="s">
        <v>409</v>
      </c>
      <c r="C197" s="8">
        <v>22</v>
      </c>
      <c r="D197" t="s">
        <v>410</v>
      </c>
      <c r="E197" t="s">
        <v>20</v>
      </c>
      <c r="F197" s="9">
        <v>2.71</v>
      </c>
      <c r="G197" s="8">
        <v>2025</v>
      </c>
      <c r="H197" s="9">
        <v>77.4</v>
      </c>
      <c r="I197" t="s">
        <v>13</v>
      </c>
      <c r="J197" s="15" t="s">
        <v>21</v>
      </c>
    </row>
    <row r="198" spans="1:10">
      <c r="A198">
        <v>3609</v>
      </c>
      <c r="B198" t="s">
        <v>411</v>
      </c>
      <c r="C198" s="8">
        <v>19</v>
      </c>
      <c r="D198" t="s">
        <v>412</v>
      </c>
      <c r="E198" t="s">
        <v>17</v>
      </c>
      <c r="F198" s="9">
        <v>2.22</v>
      </c>
      <c r="G198" s="8">
        <v>2030</v>
      </c>
      <c r="H198" s="9">
        <v>76.11</v>
      </c>
      <c r="I198" t="s">
        <v>13</v>
      </c>
      <c r="J198" s="15" t="s">
        <v>14</v>
      </c>
    </row>
    <row r="199" spans="1:10">
      <c r="A199">
        <v>9179</v>
      </c>
      <c r="B199" t="s">
        <v>413</v>
      </c>
      <c r="C199" s="8">
        <v>21</v>
      </c>
      <c r="D199" t="s">
        <v>414</v>
      </c>
      <c r="E199" t="s">
        <v>12</v>
      </c>
      <c r="F199" s="9">
        <v>3.23</v>
      </c>
      <c r="G199" s="8">
        <v>2025</v>
      </c>
      <c r="H199" s="9">
        <v>64.87</v>
      </c>
      <c r="I199" t="s">
        <v>13</v>
      </c>
      <c r="J199" s="15" t="s">
        <v>21</v>
      </c>
    </row>
    <row r="200" spans="1:10">
      <c r="A200">
        <v>4463</v>
      </c>
      <c r="B200" t="s">
        <v>415</v>
      </c>
      <c r="C200" s="8">
        <v>19</v>
      </c>
      <c r="D200" t="s">
        <v>416</v>
      </c>
      <c r="E200" t="s">
        <v>34</v>
      </c>
      <c r="F200" s="9">
        <v>3.9</v>
      </c>
      <c r="G200" s="8">
        <v>2025</v>
      </c>
      <c r="H200" s="9">
        <v>81.03</v>
      </c>
      <c r="I200" t="s">
        <v>13</v>
      </c>
      <c r="J200" s="15" t="s">
        <v>21</v>
      </c>
    </row>
    <row r="201" spans="1:10">
      <c r="A201">
        <v>6178</v>
      </c>
      <c r="B201" t="s">
        <v>417</v>
      </c>
      <c r="C201" s="8">
        <v>20</v>
      </c>
      <c r="D201" t="s">
        <v>418</v>
      </c>
      <c r="E201" t="s">
        <v>12</v>
      </c>
      <c r="F201" s="9">
        <v>3.15</v>
      </c>
      <c r="G201" s="8">
        <v>2028</v>
      </c>
      <c r="H201" s="9">
        <v>77.85</v>
      </c>
      <c r="I201" t="s">
        <v>13</v>
      </c>
      <c r="J201" s="15" t="s">
        <v>14</v>
      </c>
    </row>
  </sheetData>
  <dataValidations count="2">
    <dataValidation type="list" allowBlank="1" showInputMessage="1" showErrorMessage="1" sqref="I2:I201">
      <formula1>"FULL TIME, PART TIME"</formula1>
    </dataValidation>
    <dataValidation type="list" allowBlank="1" showInputMessage="1" showErrorMessage="1" sqref="J2:J201">
      <formula1>"Male, Female"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33"/>
  <sheetViews>
    <sheetView workbookViewId="0">
      <selection activeCell="B20" sqref="B20"/>
    </sheetView>
  </sheetViews>
  <sheetFormatPr defaultColWidth="9.23076923076923" defaultRowHeight="16.8" outlineLevelCol="5"/>
  <cols>
    <col min="3" max="3" width="18.4615384615385"/>
    <col min="4" max="6" width="23.2307692307692"/>
  </cols>
  <sheetData>
    <row r="3" ht="20.4" spans="3:5">
      <c r="C3" s="11" t="s">
        <v>419</v>
      </c>
      <c r="D3" s="11" t="s">
        <v>420</v>
      </c>
      <c r="E3" s="11" t="s">
        <v>421</v>
      </c>
    </row>
    <row r="4" ht="20.4" spans="3:5">
      <c r="C4" s="12">
        <f>COUNTA(Students_Records[StudentID])</f>
        <v>200</v>
      </c>
      <c r="D4" s="13">
        <f>AVERAGE(Students_Records[GPA])</f>
        <v>3.02785</v>
      </c>
      <c r="E4" s="13">
        <f>AVERAGE(Students_Records[Attendance])</f>
        <v>79.9794</v>
      </c>
    </row>
    <row r="9" spans="3:4">
      <c r="C9" t="s">
        <v>6</v>
      </c>
      <c r="D9" t="s">
        <v>422</v>
      </c>
    </row>
    <row r="10" spans="3:4">
      <c r="C10" s="8">
        <v>2024</v>
      </c>
      <c r="D10">
        <v>23</v>
      </c>
    </row>
    <row r="11" spans="3:4">
      <c r="C11" s="8">
        <v>2025</v>
      </c>
      <c r="D11">
        <v>30</v>
      </c>
    </row>
    <row r="12" spans="3:4">
      <c r="C12" s="8">
        <v>2026</v>
      </c>
      <c r="D12">
        <v>23</v>
      </c>
    </row>
    <row r="13" spans="3:4">
      <c r="C13" s="8">
        <v>2027</v>
      </c>
      <c r="D13">
        <v>36</v>
      </c>
    </row>
    <row r="14" spans="3:4">
      <c r="C14" s="8">
        <v>2028</v>
      </c>
      <c r="D14">
        <v>25</v>
      </c>
    </row>
    <row r="15" spans="3:4">
      <c r="C15" s="8">
        <v>2029</v>
      </c>
      <c r="D15">
        <v>26</v>
      </c>
    </row>
    <row r="16" spans="3:4">
      <c r="C16" s="8">
        <v>2030</v>
      </c>
      <c r="D16">
        <v>37</v>
      </c>
    </row>
    <row r="17" spans="3:4">
      <c r="C17" t="s">
        <v>423</v>
      </c>
      <c r="D17">
        <v>200</v>
      </c>
    </row>
    <row r="20" spans="4:4">
      <c r="D20" s="14"/>
    </row>
    <row r="27" spans="3:6">
      <c r="C27" t="s">
        <v>4</v>
      </c>
      <c r="D27" t="s">
        <v>422</v>
      </c>
      <c r="E27" t="s">
        <v>424</v>
      </c>
      <c r="F27" t="s">
        <v>425</v>
      </c>
    </row>
    <row r="28" spans="3:6">
      <c r="C28" t="s">
        <v>70</v>
      </c>
      <c r="D28">
        <v>27</v>
      </c>
      <c r="E28" s="9">
        <v>2.91555555555556</v>
      </c>
      <c r="F28" s="9">
        <v>79.0814814814815</v>
      </c>
    </row>
    <row r="29" spans="3:6">
      <c r="C29" t="s">
        <v>17</v>
      </c>
      <c r="D29">
        <v>46</v>
      </c>
      <c r="E29" s="9">
        <v>2.93630434782609</v>
      </c>
      <c r="F29" s="9">
        <v>82.8780434782609</v>
      </c>
    </row>
    <row r="30" spans="3:6">
      <c r="C30" t="s">
        <v>34</v>
      </c>
      <c r="D30">
        <v>46</v>
      </c>
      <c r="E30" s="9">
        <v>3.04434782608696</v>
      </c>
      <c r="F30" s="9">
        <v>79.7406521739131</v>
      </c>
    </row>
    <row r="31" spans="3:6">
      <c r="C31" t="s">
        <v>12</v>
      </c>
      <c r="D31">
        <v>30</v>
      </c>
      <c r="E31" s="9">
        <v>3.08066666666667</v>
      </c>
      <c r="F31" s="9">
        <v>79.452</v>
      </c>
    </row>
    <row r="32" spans="3:6">
      <c r="C32" t="s">
        <v>20</v>
      </c>
      <c r="D32">
        <v>51</v>
      </c>
      <c r="E32" s="9">
        <v>3.12392156862745</v>
      </c>
      <c r="F32" s="9">
        <v>78.3658823529411</v>
      </c>
    </row>
    <row r="33" spans="3:6">
      <c r="C33" t="s">
        <v>423</v>
      </c>
      <c r="D33">
        <v>200</v>
      </c>
      <c r="E33" s="9">
        <v>3.02785</v>
      </c>
      <c r="F33" s="9">
        <v>79.9794</v>
      </c>
    </row>
  </sheetData>
  <pageMargins left="0.75" right="0.75" top="1" bottom="1" header="0.5" footer="0.5"/>
  <headerFooter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zoomScale="115" zoomScaleNormal="115" workbookViewId="0">
      <selection activeCell="D21" sqref="D21"/>
    </sheetView>
  </sheetViews>
  <sheetFormatPr defaultColWidth="9.23076923076923" defaultRowHeight="16.8"/>
  <cols>
    <col min="1" max="1" width="10.9230769230769" customWidth="1"/>
    <col min="2" max="2" width="25.2307692307692" customWidth="1"/>
    <col min="3" max="3" width="5.07692307692308" customWidth="1"/>
    <col min="4" max="4" width="41.1538461538462" customWidth="1"/>
    <col min="5" max="5" width="18.4615384615385" customWidth="1"/>
    <col min="6" max="6" width="6.07692307692308" customWidth="1"/>
    <col min="7" max="7" width="17" customWidth="1"/>
    <col min="8" max="8" width="11.9230769230769" customWidth="1"/>
    <col min="9" max="9" width="14.8461538461538" customWidth="1"/>
    <col min="10" max="10" width="8.23076923076923" customWidth="1"/>
  </cols>
  <sheetData>
    <row r="1" spans="1:10">
      <c r="A1" t="str" cm="1">
        <f t="array" ref="A1:J201">Students_Records[#All]</f>
        <v>StudentID</v>
      </c>
      <c r="B1" t="str">
        <v>Name</v>
      </c>
      <c r="C1" t="str">
        <v>Age</v>
      </c>
      <c r="D1" t="str">
        <v>Email</v>
      </c>
      <c r="E1" t="str">
        <v>Department</v>
      </c>
      <c r="F1" t="str">
        <v>GPA</v>
      </c>
      <c r="G1" t="str">
        <v>GraduationYear</v>
      </c>
      <c r="H1" t="str">
        <v>Attendance</v>
      </c>
      <c r="I1" t="str">
        <v>Mode of Study</v>
      </c>
      <c r="J1" t="str">
        <v>Gender</v>
      </c>
    </row>
    <row r="2" spans="1:10">
      <c r="A2">
        <v>3336</v>
      </c>
      <c r="B2" t="str">
        <v>David Palmer</v>
      </c>
      <c r="C2">
        <v>19</v>
      </c>
      <c r="D2" t="str">
        <v>sean43@hotmail.com</v>
      </c>
      <c r="E2" t="str">
        <v>Mathematics</v>
      </c>
      <c r="F2">
        <v>3.16</v>
      </c>
      <c r="G2">
        <v>2026</v>
      </c>
      <c r="H2">
        <v>68.43</v>
      </c>
      <c r="I2" t="str">
        <v>FULL TIME</v>
      </c>
      <c r="J2" t="str">
        <v>Male</v>
      </c>
    </row>
    <row r="3" spans="1:10">
      <c r="A3">
        <v>8774</v>
      </c>
      <c r="B3" t="str">
        <v>Andrew Roach</v>
      </c>
      <c r="C3">
        <v>23</v>
      </c>
      <c r="D3" t="str">
        <v>vbecker@harvey.com</v>
      </c>
      <c r="E3" t="str">
        <v>Chemistry</v>
      </c>
      <c r="F3">
        <v>3.75</v>
      </c>
      <c r="G3">
        <v>2027</v>
      </c>
      <c r="H3">
        <v>76.85</v>
      </c>
      <c r="I3" t="str">
        <v>FULL TIME</v>
      </c>
      <c r="J3" t="str">
        <v>Male</v>
      </c>
    </row>
    <row r="4" spans="1:10">
      <c r="A4">
        <v>1396</v>
      </c>
      <c r="B4" t="str">
        <v>Jonathan Gonzalez</v>
      </c>
      <c r="C4">
        <v>22</v>
      </c>
      <c r="D4" t="str">
        <v>hollydavis@gmail.com</v>
      </c>
      <c r="E4" t="str">
        <v>Physics</v>
      </c>
      <c r="F4">
        <v>2.95</v>
      </c>
      <c r="G4">
        <v>2027</v>
      </c>
      <c r="H4">
        <v>68.72</v>
      </c>
      <c r="I4" t="str">
        <v>FULL TIME</v>
      </c>
      <c r="J4" t="str">
        <v>Female</v>
      </c>
    </row>
    <row r="5" spans="1:10">
      <c r="A5">
        <v>6716</v>
      </c>
      <c r="B5" t="str">
        <v>Kenneth Morrow</v>
      </c>
      <c r="C5">
        <v>24</v>
      </c>
      <c r="D5" t="str">
        <v>ganderson@wheeler-atkins.info</v>
      </c>
      <c r="E5" t="str">
        <v>Physics</v>
      </c>
      <c r="F5">
        <v>3.55</v>
      </c>
      <c r="G5">
        <v>2029</v>
      </c>
      <c r="H5">
        <v>93.83</v>
      </c>
      <c r="I5" t="str">
        <v>FULL TIME</v>
      </c>
      <c r="J5" t="str">
        <v>Male</v>
      </c>
    </row>
    <row r="6" spans="1:10">
      <c r="A6">
        <v>8830</v>
      </c>
      <c r="B6" t="str">
        <v>Kaitlyn Martinez</v>
      </c>
      <c r="C6">
        <v>18</v>
      </c>
      <c r="D6" t="str">
        <v>hayesdiane@gmail.com</v>
      </c>
      <c r="E6" t="str">
        <v>Chemistry</v>
      </c>
      <c r="F6">
        <v>2.29</v>
      </c>
      <c r="G6">
        <v>2025</v>
      </c>
      <c r="H6">
        <v>78.25</v>
      </c>
      <c r="I6" t="str">
        <v>FULL TIME</v>
      </c>
      <c r="J6" t="str">
        <v>Female</v>
      </c>
    </row>
    <row r="7" spans="1:10">
      <c r="A7">
        <v>5305</v>
      </c>
      <c r="B7" t="str">
        <v>Tiffany Wolf</v>
      </c>
      <c r="C7">
        <v>23</v>
      </c>
      <c r="D7" t="str">
        <v>qanderson@taylor.com</v>
      </c>
      <c r="E7" t="str">
        <v>Mathematics</v>
      </c>
      <c r="F7">
        <v>3.3</v>
      </c>
      <c r="G7">
        <v>2029</v>
      </c>
      <c r="H7">
        <v>71.19</v>
      </c>
      <c r="I7" t="str">
        <v>FULL TIME</v>
      </c>
      <c r="J7" t="str">
        <v>Male</v>
      </c>
    </row>
    <row r="8" spans="1:10">
      <c r="A8">
        <v>5048</v>
      </c>
      <c r="B8" t="str">
        <v>James Reyes</v>
      </c>
      <c r="C8">
        <v>20</v>
      </c>
      <c r="D8" t="str">
        <v>drodriguez@nguyen-cooper.info</v>
      </c>
      <c r="E8" t="str">
        <v>Chemistry</v>
      </c>
      <c r="F8">
        <v>2.44</v>
      </c>
      <c r="G8">
        <v>2029</v>
      </c>
      <c r="H8">
        <v>97.32</v>
      </c>
      <c r="I8" t="str">
        <v>FULL TIME</v>
      </c>
      <c r="J8" t="str">
        <v>Male</v>
      </c>
    </row>
    <row r="9" spans="1:10">
      <c r="A9">
        <v>5986</v>
      </c>
      <c r="B9" t="str">
        <v>Samantha Sellers</v>
      </c>
      <c r="C9">
        <v>20</v>
      </c>
      <c r="D9" t="str">
        <v>michelle27@hubbard-webster.com</v>
      </c>
      <c r="E9" t="str">
        <v>Mathematics</v>
      </c>
      <c r="F9">
        <v>3.44</v>
      </c>
      <c r="G9">
        <v>2025</v>
      </c>
      <c r="H9">
        <v>72.57</v>
      </c>
      <c r="I9" t="str">
        <v>FULL TIME</v>
      </c>
      <c r="J9" t="str">
        <v>Female</v>
      </c>
    </row>
    <row r="10" spans="1:10">
      <c r="A10">
        <v>8721</v>
      </c>
      <c r="B10" t="str">
        <v>Michael Kim</v>
      </c>
      <c r="C10">
        <v>25</v>
      </c>
      <c r="D10" t="str">
        <v>jacksonhannah@miles.com</v>
      </c>
      <c r="E10" t="str">
        <v>Computer Science</v>
      </c>
      <c r="F10">
        <v>3.27</v>
      </c>
      <c r="G10">
        <v>2027</v>
      </c>
      <c r="H10">
        <v>96.39</v>
      </c>
      <c r="I10" t="str">
        <v>FULL TIME</v>
      </c>
      <c r="J10" t="str">
        <v>Male</v>
      </c>
    </row>
    <row r="11" spans="1:10">
      <c r="A11">
        <v>6622</v>
      </c>
      <c r="B11" t="str">
        <v>Emily Davis</v>
      </c>
      <c r="C11">
        <v>18</v>
      </c>
      <c r="D11" t="str">
        <v>george02@hotmail.com</v>
      </c>
      <c r="E11" t="str">
        <v>Physics</v>
      </c>
      <c r="F11">
        <v>3.09</v>
      </c>
      <c r="G11">
        <v>2030</v>
      </c>
      <c r="H11">
        <v>61.74</v>
      </c>
      <c r="I11" t="str">
        <v>FULL TIME</v>
      </c>
      <c r="J11" t="str">
        <v>Female</v>
      </c>
    </row>
    <row r="12" spans="1:10">
      <c r="A12">
        <v>3254</v>
      </c>
      <c r="B12" t="str">
        <v>Adam Evans</v>
      </c>
      <c r="C12">
        <v>20</v>
      </c>
      <c r="D12" t="str">
        <v>bryantmargaret@hernandez.com</v>
      </c>
      <c r="E12" t="str">
        <v>Physics</v>
      </c>
      <c r="F12">
        <v>3.42</v>
      </c>
      <c r="G12">
        <v>2026</v>
      </c>
      <c r="H12">
        <v>88.28</v>
      </c>
      <c r="I12" t="str">
        <v>FULL TIME</v>
      </c>
      <c r="J12" t="str">
        <v>Male</v>
      </c>
    </row>
    <row r="13" spans="1:10">
      <c r="A13">
        <v>8021</v>
      </c>
      <c r="B13" t="str">
        <v>Alejandra Galloway</v>
      </c>
      <c r="C13">
        <v>20</v>
      </c>
      <c r="D13" t="str">
        <v>danielpowers@schmidt.com</v>
      </c>
      <c r="E13" t="str">
        <v>Chemistry</v>
      </c>
      <c r="F13">
        <v>2.33</v>
      </c>
      <c r="G13">
        <v>2027</v>
      </c>
      <c r="H13">
        <v>79.36</v>
      </c>
      <c r="I13" t="str">
        <v>FULL TIME</v>
      </c>
      <c r="J13" t="str">
        <v>Male</v>
      </c>
    </row>
    <row r="14" spans="1:10">
      <c r="A14">
        <v>9477</v>
      </c>
      <c r="B14" t="str">
        <v>Cindy Johnston</v>
      </c>
      <c r="C14">
        <v>22</v>
      </c>
      <c r="D14" t="str">
        <v>james96@webb.org</v>
      </c>
      <c r="E14" t="str">
        <v>Mathematics</v>
      </c>
      <c r="F14">
        <v>3.76</v>
      </c>
      <c r="G14">
        <v>2025</v>
      </c>
      <c r="H14">
        <v>77.77</v>
      </c>
      <c r="I14" t="str">
        <v>FULL TIME</v>
      </c>
      <c r="J14" t="str">
        <v>Male</v>
      </c>
    </row>
    <row r="15" spans="1:10">
      <c r="A15">
        <v>9144</v>
      </c>
      <c r="B15" t="str">
        <v>Taylor Krueger II</v>
      </c>
      <c r="C15">
        <v>20</v>
      </c>
      <c r="D15" t="str">
        <v>hleon@smith.net</v>
      </c>
      <c r="E15" t="str">
        <v>Computer Science</v>
      </c>
      <c r="F15">
        <v>2.02</v>
      </c>
      <c r="G15">
        <v>2025</v>
      </c>
      <c r="H15">
        <v>61.45</v>
      </c>
      <c r="I15" t="str">
        <v>FULL TIME</v>
      </c>
      <c r="J15" t="str">
        <v>Male</v>
      </c>
    </row>
    <row r="16" spans="1:10">
      <c r="A16">
        <v>4854</v>
      </c>
      <c r="B16" t="str">
        <v>Kimberly Vang</v>
      </c>
      <c r="C16">
        <v>23</v>
      </c>
      <c r="D16" t="str">
        <v>carolyn34@yahoo.com</v>
      </c>
      <c r="E16" t="str">
        <v>Computer Science</v>
      </c>
      <c r="F16">
        <v>3.35</v>
      </c>
      <c r="G16">
        <v>2030</v>
      </c>
      <c r="H16">
        <v>61.63</v>
      </c>
      <c r="I16" t="str">
        <v>FULL TIME</v>
      </c>
      <c r="J16" t="str">
        <v>Female</v>
      </c>
    </row>
    <row r="17" spans="1:10">
      <c r="A17">
        <v>3690</v>
      </c>
      <c r="B17" t="str">
        <v>Alex Allen</v>
      </c>
      <c r="C17">
        <v>24</v>
      </c>
      <c r="D17" t="str">
        <v>shawkaren@smith.net</v>
      </c>
      <c r="E17" t="str">
        <v>Physics</v>
      </c>
      <c r="F17">
        <v>3.21</v>
      </c>
      <c r="G17">
        <v>2029</v>
      </c>
      <c r="H17">
        <v>73.31</v>
      </c>
      <c r="I17" t="str">
        <v>FULL TIME</v>
      </c>
      <c r="J17" t="str">
        <v>Female</v>
      </c>
    </row>
    <row r="18" spans="1:10">
      <c r="A18">
        <v>4462</v>
      </c>
      <c r="B18" t="str">
        <v>Dawn Caldwell</v>
      </c>
      <c r="C18">
        <v>24</v>
      </c>
      <c r="D18" t="str">
        <v>kelly96@gmail.com</v>
      </c>
      <c r="E18" t="str">
        <v>Computer Science</v>
      </c>
      <c r="F18">
        <v>3.92</v>
      </c>
      <c r="G18">
        <v>2027</v>
      </c>
      <c r="H18">
        <v>97.88</v>
      </c>
      <c r="I18" t="str">
        <v>FULL TIME</v>
      </c>
      <c r="J18" t="str">
        <v>Female</v>
      </c>
    </row>
    <row r="19" spans="1:10">
      <c r="A19">
        <v>3255</v>
      </c>
      <c r="B19" t="str">
        <v>Connie Cline</v>
      </c>
      <c r="C19">
        <v>22</v>
      </c>
      <c r="D19" t="str">
        <v>patelmercedes@green.com</v>
      </c>
      <c r="E19" t="str">
        <v>Chemistry</v>
      </c>
      <c r="F19">
        <v>3.42</v>
      </c>
      <c r="G19">
        <v>2024</v>
      </c>
      <c r="H19">
        <v>84.71</v>
      </c>
      <c r="I19" t="str">
        <v>FULL TIME</v>
      </c>
      <c r="J19" t="str">
        <v>Male</v>
      </c>
    </row>
    <row r="20" spans="1:10">
      <c r="A20">
        <v>5446</v>
      </c>
      <c r="B20" t="str">
        <v>Christine Smith</v>
      </c>
      <c r="C20">
        <v>21</v>
      </c>
      <c r="D20" t="str">
        <v>nicholasmejia@hotmail.com</v>
      </c>
      <c r="E20" t="str">
        <v>Computer Science</v>
      </c>
      <c r="F20">
        <v>3.43</v>
      </c>
      <c r="G20">
        <v>2027</v>
      </c>
      <c r="H20">
        <v>74.75</v>
      </c>
      <c r="I20" t="str">
        <v>PART TIME</v>
      </c>
      <c r="J20" t="str">
        <v>Male</v>
      </c>
    </row>
    <row r="21" spans="1:10">
      <c r="A21">
        <v>8125</v>
      </c>
      <c r="B21" t="str">
        <v>Dana Burke</v>
      </c>
      <c r="C21">
        <v>23</v>
      </c>
      <c r="D21" t="str">
        <v>davismichael@yahoo.com</v>
      </c>
      <c r="E21" t="str">
        <v>Physics</v>
      </c>
      <c r="F21">
        <v>2.05</v>
      </c>
      <c r="G21">
        <v>2025</v>
      </c>
      <c r="H21">
        <v>84.48</v>
      </c>
      <c r="I21" t="str">
        <v>PART TIME</v>
      </c>
      <c r="J21" t="str">
        <v>Male</v>
      </c>
    </row>
    <row r="22" spans="1:10">
      <c r="A22">
        <v>3052</v>
      </c>
      <c r="B22" t="str">
        <v>Suzanne Lopez</v>
      </c>
      <c r="C22">
        <v>18</v>
      </c>
      <c r="D22" t="str">
        <v>thomasbennett@gmail.com</v>
      </c>
      <c r="E22" t="str">
        <v>Computer Science</v>
      </c>
      <c r="F22">
        <v>2.33</v>
      </c>
      <c r="G22">
        <v>2025</v>
      </c>
      <c r="H22">
        <v>68.25</v>
      </c>
      <c r="I22" t="str">
        <v>FULL TIME</v>
      </c>
      <c r="J22" t="str">
        <v>Male</v>
      </c>
    </row>
    <row r="23" spans="1:10">
      <c r="A23">
        <v>2602</v>
      </c>
      <c r="B23" t="str">
        <v>Meagan Thompson</v>
      </c>
      <c r="C23">
        <v>23</v>
      </c>
      <c r="D23" t="str">
        <v>robert13@gmail.com</v>
      </c>
      <c r="E23" t="str">
        <v>Physics</v>
      </c>
      <c r="F23">
        <v>3.68</v>
      </c>
      <c r="G23">
        <v>2028</v>
      </c>
      <c r="H23">
        <v>66.6</v>
      </c>
      <c r="I23" t="str">
        <v>FULL TIME</v>
      </c>
      <c r="J23" t="str">
        <v>Female</v>
      </c>
    </row>
    <row r="24" spans="1:10">
      <c r="A24">
        <v>1866</v>
      </c>
      <c r="B24" t="str">
        <v>Erica Welch</v>
      </c>
      <c r="C24">
        <v>25</v>
      </c>
      <c r="D24" t="str">
        <v>hernandezbrent@delgado-terry.com</v>
      </c>
      <c r="E24" t="str">
        <v>Mathematics</v>
      </c>
      <c r="F24">
        <v>3.84</v>
      </c>
      <c r="G24">
        <v>2028</v>
      </c>
      <c r="H24">
        <v>74.47</v>
      </c>
      <c r="I24" t="str">
        <v>FULL TIME</v>
      </c>
      <c r="J24" t="str">
        <v>Female</v>
      </c>
    </row>
    <row r="25" spans="1:10">
      <c r="A25">
        <v>4908</v>
      </c>
      <c r="B25" t="str">
        <v>Debra Reilly</v>
      </c>
      <c r="C25">
        <v>21</v>
      </c>
      <c r="D25" t="str">
        <v>amy78@jackson.com</v>
      </c>
      <c r="E25" t="str">
        <v>Chemistry</v>
      </c>
      <c r="F25">
        <v>3.82</v>
      </c>
      <c r="G25">
        <v>2027</v>
      </c>
      <c r="H25">
        <v>94.53</v>
      </c>
      <c r="I25" t="str">
        <v>FULL TIME</v>
      </c>
      <c r="J25" t="str">
        <v>Male</v>
      </c>
    </row>
    <row r="26" spans="1:10">
      <c r="A26">
        <v>6711</v>
      </c>
      <c r="B26" t="str">
        <v>Rachel Hill</v>
      </c>
      <c r="C26">
        <v>22</v>
      </c>
      <c r="D26" t="str">
        <v>elizabeth41@hill-johnson.com</v>
      </c>
      <c r="E26" t="str">
        <v>Computer Science</v>
      </c>
      <c r="F26">
        <v>2.99</v>
      </c>
      <c r="G26">
        <v>2026</v>
      </c>
      <c r="H26">
        <v>80.38</v>
      </c>
      <c r="I26" t="str">
        <v>FULL TIME</v>
      </c>
      <c r="J26" t="str">
        <v>Male</v>
      </c>
    </row>
    <row r="27" spans="1:10">
      <c r="A27">
        <v>1165</v>
      </c>
      <c r="B27" t="str">
        <v>Lauren Hill</v>
      </c>
      <c r="C27">
        <v>22</v>
      </c>
      <c r="D27" t="str">
        <v>timothy00@lopez.com</v>
      </c>
      <c r="E27" t="str">
        <v>Biology</v>
      </c>
      <c r="F27">
        <v>2.49</v>
      </c>
      <c r="G27">
        <v>2024</v>
      </c>
      <c r="H27">
        <v>71.88</v>
      </c>
      <c r="I27" t="str">
        <v>FULL TIME</v>
      </c>
      <c r="J27" t="str">
        <v>Male</v>
      </c>
    </row>
    <row r="28" spans="1:10">
      <c r="A28">
        <v>7657</v>
      </c>
      <c r="B28" t="str">
        <v>Andrea Castro</v>
      </c>
      <c r="C28">
        <v>19</v>
      </c>
      <c r="D28" t="str">
        <v>valvarez@hotmail.com</v>
      </c>
      <c r="E28" t="str">
        <v>Mathematics</v>
      </c>
      <c r="F28">
        <v>3.16</v>
      </c>
      <c r="G28">
        <v>2024</v>
      </c>
      <c r="H28">
        <v>98.01</v>
      </c>
      <c r="I28" t="str">
        <v>FULL TIME</v>
      </c>
      <c r="J28" t="str">
        <v>Female</v>
      </c>
    </row>
    <row r="29" spans="1:10">
      <c r="A29">
        <v>4776</v>
      </c>
      <c r="B29" t="str">
        <v>Sarah Cruz</v>
      </c>
      <c r="C29">
        <v>24</v>
      </c>
      <c r="D29" t="str">
        <v>melissa92@hicks.com</v>
      </c>
      <c r="E29" t="str">
        <v>Physics</v>
      </c>
      <c r="F29">
        <v>3.56</v>
      </c>
      <c r="G29">
        <v>2026</v>
      </c>
      <c r="H29">
        <v>92.64</v>
      </c>
      <c r="I29" t="str">
        <v>FULL TIME</v>
      </c>
      <c r="J29" t="str">
        <v>Female</v>
      </c>
    </row>
    <row r="30" spans="1:10">
      <c r="A30">
        <v>5711</v>
      </c>
      <c r="B30" t="str">
        <v>Teresa Patrick PhD</v>
      </c>
      <c r="C30">
        <v>25</v>
      </c>
      <c r="D30" t="str">
        <v>hbrooks@nelson-bennett.info</v>
      </c>
      <c r="E30" t="str">
        <v>Physics</v>
      </c>
      <c r="F30">
        <v>3.58</v>
      </c>
      <c r="G30">
        <v>2030</v>
      </c>
      <c r="H30">
        <v>72.92</v>
      </c>
      <c r="I30" t="str">
        <v>FULL TIME</v>
      </c>
      <c r="J30" t="str">
        <v>Female</v>
      </c>
    </row>
    <row r="31" spans="1:10">
      <c r="A31">
        <v>8511</v>
      </c>
      <c r="B31" t="str">
        <v>Brittany Thompson</v>
      </c>
      <c r="C31">
        <v>19</v>
      </c>
      <c r="D31" t="str">
        <v>chavezallison@yahoo.com</v>
      </c>
      <c r="E31" t="str">
        <v>Chemistry</v>
      </c>
      <c r="F31">
        <v>2.82</v>
      </c>
      <c r="G31">
        <v>2024</v>
      </c>
      <c r="H31">
        <v>98.88</v>
      </c>
      <c r="I31" t="str">
        <v>FULL TIME</v>
      </c>
      <c r="J31" t="str">
        <v>Female</v>
      </c>
    </row>
    <row r="32" spans="1:10">
      <c r="A32">
        <v>4009</v>
      </c>
      <c r="B32" t="str">
        <v>Sean Wells</v>
      </c>
      <c r="C32">
        <v>21</v>
      </c>
      <c r="D32" t="str">
        <v>barreracourtney@nguyen.com</v>
      </c>
      <c r="E32" t="str">
        <v>Physics</v>
      </c>
      <c r="F32">
        <v>2.98</v>
      </c>
      <c r="G32">
        <v>2029</v>
      </c>
      <c r="H32">
        <v>99.49</v>
      </c>
      <c r="I32" t="str">
        <v>FULL TIME</v>
      </c>
      <c r="J32" t="str">
        <v>Female</v>
      </c>
    </row>
    <row r="33" spans="1:10">
      <c r="A33">
        <v>7998</v>
      </c>
      <c r="B33" t="str">
        <v>Robert Simmons</v>
      </c>
      <c r="C33">
        <v>24</v>
      </c>
      <c r="D33" t="str">
        <v>daniel00@gmail.com</v>
      </c>
      <c r="E33" t="str">
        <v>Chemistry</v>
      </c>
      <c r="F33">
        <v>3.21</v>
      </c>
      <c r="G33">
        <v>2030</v>
      </c>
      <c r="H33">
        <v>76.35</v>
      </c>
      <c r="I33" t="str">
        <v>FULL TIME</v>
      </c>
      <c r="J33" t="str">
        <v>Female</v>
      </c>
    </row>
    <row r="34" spans="1:10">
      <c r="A34">
        <v>5676</v>
      </c>
      <c r="B34" t="str">
        <v>William Holt</v>
      </c>
      <c r="C34">
        <v>22</v>
      </c>
      <c r="D34" t="str">
        <v>warrensmith@yahoo.com</v>
      </c>
      <c r="E34" t="str">
        <v>Chemistry</v>
      </c>
      <c r="F34">
        <v>2.15</v>
      </c>
      <c r="G34">
        <v>2030</v>
      </c>
      <c r="H34">
        <v>86.24</v>
      </c>
      <c r="I34" t="str">
        <v>PART TIME</v>
      </c>
      <c r="J34" t="str">
        <v>Female</v>
      </c>
    </row>
    <row r="35" spans="1:10">
      <c r="A35">
        <v>8134</v>
      </c>
      <c r="B35" t="str">
        <v>Brandon Garcia</v>
      </c>
      <c r="C35">
        <v>19</v>
      </c>
      <c r="D35" t="str">
        <v>brandon58@cummings-johnson.biz</v>
      </c>
      <c r="E35" t="str">
        <v>Computer Science</v>
      </c>
      <c r="F35">
        <v>2.73</v>
      </c>
      <c r="G35">
        <v>2030</v>
      </c>
      <c r="H35">
        <v>76.23</v>
      </c>
      <c r="I35" t="str">
        <v>FULL TIME</v>
      </c>
      <c r="J35" t="str">
        <v>Female</v>
      </c>
    </row>
    <row r="36" spans="1:10">
      <c r="A36">
        <v>5119</v>
      </c>
      <c r="B36" t="str">
        <v>Alexander Jones</v>
      </c>
      <c r="C36">
        <v>25</v>
      </c>
      <c r="D36" t="str">
        <v>emily28@hotmail.com</v>
      </c>
      <c r="E36" t="str">
        <v>Physics</v>
      </c>
      <c r="F36">
        <v>2.92</v>
      </c>
      <c r="G36">
        <v>2024</v>
      </c>
      <c r="H36">
        <v>70.29</v>
      </c>
      <c r="I36" t="str">
        <v>FULL TIME</v>
      </c>
      <c r="J36" t="str">
        <v>Female</v>
      </c>
    </row>
    <row r="37" spans="1:10">
      <c r="A37">
        <v>7304</v>
      </c>
      <c r="B37" t="str">
        <v>William Anderson</v>
      </c>
      <c r="C37">
        <v>25</v>
      </c>
      <c r="D37" t="str">
        <v>jacob29@gmail.com</v>
      </c>
      <c r="E37" t="str">
        <v>Mathematics</v>
      </c>
      <c r="F37">
        <v>3.51</v>
      </c>
      <c r="G37">
        <v>2024</v>
      </c>
      <c r="H37">
        <v>63.31</v>
      </c>
      <c r="I37" t="str">
        <v>FULL TIME</v>
      </c>
      <c r="J37" t="str">
        <v>Female</v>
      </c>
    </row>
    <row r="38" spans="1:10">
      <c r="A38">
        <v>3663</v>
      </c>
      <c r="B38" t="str">
        <v>Shawna Glover</v>
      </c>
      <c r="C38">
        <v>19</v>
      </c>
      <c r="D38" t="str">
        <v>alison62@barrett.com</v>
      </c>
      <c r="E38" t="str">
        <v>Biology</v>
      </c>
      <c r="F38">
        <v>2.75</v>
      </c>
      <c r="G38">
        <v>2028</v>
      </c>
      <c r="H38">
        <v>70.54</v>
      </c>
      <c r="I38" t="str">
        <v>FULL TIME</v>
      </c>
      <c r="J38" t="str">
        <v>Male</v>
      </c>
    </row>
    <row r="39" spans="1:10">
      <c r="A39">
        <v>6423</v>
      </c>
      <c r="B39" t="str">
        <v>Susan Galvan</v>
      </c>
      <c r="C39">
        <v>22</v>
      </c>
      <c r="D39" t="str">
        <v>theresa04@gmail.com</v>
      </c>
      <c r="E39" t="str">
        <v>Chemistry</v>
      </c>
      <c r="F39">
        <v>3.26</v>
      </c>
      <c r="G39">
        <v>2028</v>
      </c>
      <c r="H39">
        <v>70.86</v>
      </c>
      <c r="I39" t="str">
        <v>FULL TIME</v>
      </c>
      <c r="J39" t="str">
        <v>Male</v>
      </c>
    </row>
    <row r="40" spans="1:10">
      <c r="A40">
        <v>5155</v>
      </c>
      <c r="B40" t="str">
        <v>Jason King</v>
      </c>
      <c r="C40">
        <v>24</v>
      </c>
      <c r="D40" t="str">
        <v>oliviawalls@hotmail.com</v>
      </c>
      <c r="E40" t="str">
        <v>Chemistry</v>
      </c>
      <c r="F40">
        <v>3.74</v>
      </c>
      <c r="G40">
        <v>2024</v>
      </c>
      <c r="H40">
        <v>75.95</v>
      </c>
      <c r="I40" t="str">
        <v>FULL TIME</v>
      </c>
      <c r="J40" t="str">
        <v>Male</v>
      </c>
    </row>
    <row r="41" spans="1:10">
      <c r="A41">
        <v>1066</v>
      </c>
      <c r="B41" t="str">
        <v>Alexander Simmons</v>
      </c>
      <c r="C41">
        <v>19</v>
      </c>
      <c r="D41" t="str">
        <v>jrodriguez@cox.info</v>
      </c>
      <c r="E41" t="str">
        <v>Biology</v>
      </c>
      <c r="F41">
        <v>3.26</v>
      </c>
      <c r="G41">
        <v>2028</v>
      </c>
      <c r="H41">
        <v>67.4</v>
      </c>
      <c r="I41" t="str">
        <v>FULL TIME</v>
      </c>
      <c r="J41" t="str">
        <v>Male</v>
      </c>
    </row>
    <row r="42" spans="1:10">
      <c r="A42">
        <v>5773</v>
      </c>
      <c r="B42" t="str">
        <v>James Moore</v>
      </c>
      <c r="C42">
        <v>24</v>
      </c>
      <c r="D42" t="str">
        <v>daniel72@long.com</v>
      </c>
      <c r="E42" t="str">
        <v>Physics</v>
      </c>
      <c r="F42">
        <v>2.37</v>
      </c>
      <c r="G42">
        <v>2024</v>
      </c>
      <c r="H42">
        <v>98.15</v>
      </c>
      <c r="I42" t="str">
        <v>FULL TIME</v>
      </c>
      <c r="J42" t="str">
        <v>Male</v>
      </c>
    </row>
    <row r="43" spans="1:10">
      <c r="A43">
        <v>8417</v>
      </c>
      <c r="B43" t="str">
        <v>Frank Garza</v>
      </c>
      <c r="C43">
        <v>19</v>
      </c>
      <c r="D43" t="str">
        <v>jennifer82@cruz.com</v>
      </c>
      <c r="E43" t="str">
        <v>Mathematics</v>
      </c>
      <c r="F43">
        <v>2.67</v>
      </c>
      <c r="G43">
        <v>2027</v>
      </c>
      <c r="H43">
        <v>64.12</v>
      </c>
      <c r="I43" t="str">
        <v>FULL TIME</v>
      </c>
      <c r="J43" t="str">
        <v>Male</v>
      </c>
    </row>
    <row r="44" spans="1:10">
      <c r="A44">
        <v>4235</v>
      </c>
      <c r="B44" t="str">
        <v>Cynthia Parker DVM</v>
      </c>
      <c r="C44">
        <v>22</v>
      </c>
      <c r="D44" t="str">
        <v>jasminelewis@washington.com</v>
      </c>
      <c r="E44" t="str">
        <v>Mathematics</v>
      </c>
      <c r="F44">
        <v>2.02</v>
      </c>
      <c r="G44">
        <v>2028</v>
      </c>
      <c r="H44">
        <v>85.01</v>
      </c>
      <c r="I44" t="str">
        <v>FULL TIME</v>
      </c>
      <c r="J44" t="str">
        <v>Male</v>
      </c>
    </row>
    <row r="45" spans="1:10">
      <c r="A45">
        <v>7002</v>
      </c>
      <c r="B45" t="str">
        <v>Robert Smith</v>
      </c>
      <c r="C45">
        <v>18</v>
      </c>
      <c r="D45" t="str">
        <v>amanda74@gmail.com</v>
      </c>
      <c r="E45" t="str">
        <v>Chemistry</v>
      </c>
      <c r="F45">
        <v>2.7</v>
      </c>
      <c r="G45">
        <v>2028</v>
      </c>
      <c r="H45">
        <v>77.67</v>
      </c>
      <c r="I45" t="str">
        <v>FULL TIME</v>
      </c>
      <c r="J45" t="str">
        <v>Male</v>
      </c>
    </row>
    <row r="46" spans="1:10">
      <c r="A46">
        <v>5998</v>
      </c>
      <c r="B46" t="str">
        <v>Marie Valdez</v>
      </c>
      <c r="C46">
        <v>18</v>
      </c>
      <c r="D46" t="str">
        <v>xwarner@nelson.com</v>
      </c>
      <c r="E46" t="str">
        <v>Computer Science</v>
      </c>
      <c r="F46">
        <v>3.5</v>
      </c>
      <c r="G46">
        <v>2030</v>
      </c>
      <c r="H46">
        <v>76.94</v>
      </c>
      <c r="I46" t="str">
        <v>FULL TIME</v>
      </c>
      <c r="J46" t="str">
        <v>Male</v>
      </c>
    </row>
    <row r="47" spans="1:10">
      <c r="A47">
        <v>9661</v>
      </c>
      <c r="B47" t="str">
        <v>Patty Duke</v>
      </c>
      <c r="C47">
        <v>18</v>
      </c>
      <c r="D47" t="str">
        <v>sparksanna@gmail.com</v>
      </c>
      <c r="E47" t="str">
        <v>Chemistry</v>
      </c>
      <c r="F47">
        <v>3.6</v>
      </c>
      <c r="G47">
        <v>2027</v>
      </c>
      <c r="H47">
        <v>74.88</v>
      </c>
      <c r="I47" t="str">
        <v>FULL TIME</v>
      </c>
      <c r="J47" t="str">
        <v>Male</v>
      </c>
    </row>
    <row r="48" spans="1:10">
      <c r="A48">
        <v>5144</v>
      </c>
      <c r="B48" t="str">
        <v>Teresa Lucas</v>
      </c>
      <c r="C48">
        <v>20</v>
      </c>
      <c r="D48" t="str">
        <v>epatel@edwards-smith.info</v>
      </c>
      <c r="E48" t="str">
        <v>Biology</v>
      </c>
      <c r="F48">
        <v>3.47</v>
      </c>
      <c r="G48">
        <v>2029</v>
      </c>
      <c r="H48">
        <v>94.73</v>
      </c>
      <c r="I48" t="str">
        <v>FULL TIME</v>
      </c>
      <c r="J48" t="str">
        <v>Male</v>
      </c>
    </row>
    <row r="49" spans="1:10">
      <c r="A49">
        <v>3719</v>
      </c>
      <c r="B49" t="str">
        <v>Melanie Lowe</v>
      </c>
      <c r="C49">
        <v>25</v>
      </c>
      <c r="D49" t="str">
        <v>nicolepruitt@bell-gibson.org</v>
      </c>
      <c r="E49" t="str">
        <v>Computer Science</v>
      </c>
      <c r="F49">
        <v>3.05</v>
      </c>
      <c r="G49">
        <v>2030</v>
      </c>
      <c r="H49">
        <v>71.22</v>
      </c>
      <c r="I49" t="str">
        <v>FULL TIME</v>
      </c>
      <c r="J49" t="str">
        <v>Female</v>
      </c>
    </row>
    <row r="50" spans="1:10">
      <c r="A50">
        <v>9310</v>
      </c>
      <c r="B50" t="str">
        <v>Isaiah Morales</v>
      </c>
      <c r="C50">
        <v>25</v>
      </c>
      <c r="D50" t="str">
        <v>lutzjason@neal.biz</v>
      </c>
      <c r="E50" t="str">
        <v>Physics</v>
      </c>
      <c r="F50">
        <v>3.06</v>
      </c>
      <c r="G50">
        <v>2025</v>
      </c>
      <c r="H50">
        <v>60.82</v>
      </c>
      <c r="I50" t="str">
        <v>FULL TIME</v>
      </c>
      <c r="J50" t="str">
        <v>Male</v>
      </c>
    </row>
    <row r="51" spans="1:10">
      <c r="A51">
        <v>9271</v>
      </c>
      <c r="B51" t="str">
        <v>Connor Fry</v>
      </c>
      <c r="C51">
        <v>19</v>
      </c>
      <c r="D51" t="str">
        <v>masseytom@gmail.com</v>
      </c>
      <c r="E51" t="str">
        <v>Chemistry</v>
      </c>
      <c r="F51">
        <v>3.94</v>
      </c>
      <c r="G51">
        <v>2030</v>
      </c>
      <c r="H51">
        <v>96.72</v>
      </c>
      <c r="I51" t="str">
        <v>FULL TIME</v>
      </c>
      <c r="J51" t="str">
        <v>Female</v>
      </c>
    </row>
    <row r="52" spans="1:10">
      <c r="A52">
        <v>4603</v>
      </c>
      <c r="B52" t="str">
        <v>Autumn Nguyen</v>
      </c>
      <c r="C52">
        <v>22</v>
      </c>
      <c r="D52" t="str">
        <v>john53@hotmail.com</v>
      </c>
      <c r="E52" t="str">
        <v>Mathematics</v>
      </c>
      <c r="F52">
        <v>2.13</v>
      </c>
      <c r="G52">
        <v>2030</v>
      </c>
      <c r="H52">
        <v>94.58</v>
      </c>
      <c r="I52" t="str">
        <v>FULL TIME</v>
      </c>
      <c r="J52" t="str">
        <v>Male</v>
      </c>
    </row>
    <row r="53" spans="1:10">
      <c r="A53">
        <v>5001</v>
      </c>
      <c r="B53" t="str">
        <v>Jasmin Pena</v>
      </c>
      <c r="C53">
        <v>23</v>
      </c>
      <c r="D53" t="str">
        <v>ajackson@hotmail.com</v>
      </c>
      <c r="E53" t="str">
        <v>Chemistry</v>
      </c>
      <c r="F53">
        <v>3.64</v>
      </c>
      <c r="G53">
        <v>2025</v>
      </c>
      <c r="H53">
        <v>71.08</v>
      </c>
      <c r="I53" t="str">
        <v>FULL TIME</v>
      </c>
      <c r="J53" t="str">
        <v>Female</v>
      </c>
    </row>
    <row r="54" spans="1:10">
      <c r="A54">
        <v>5618</v>
      </c>
      <c r="B54" t="str">
        <v>Mrs. Carol Williams MD</v>
      </c>
      <c r="C54">
        <v>22</v>
      </c>
      <c r="D54" t="str">
        <v>janice01@yahoo.com</v>
      </c>
      <c r="E54" t="str">
        <v>Physics</v>
      </c>
      <c r="F54">
        <v>3.56</v>
      </c>
      <c r="G54">
        <v>2027</v>
      </c>
      <c r="H54">
        <v>80.94</v>
      </c>
      <c r="I54" t="str">
        <v>FULL TIME</v>
      </c>
      <c r="J54" t="str">
        <v>Female</v>
      </c>
    </row>
    <row r="55" spans="1:10">
      <c r="A55">
        <v>3205</v>
      </c>
      <c r="B55" t="str">
        <v>Andrew Lutz</v>
      </c>
      <c r="C55">
        <v>20</v>
      </c>
      <c r="D55" t="str">
        <v>patrick16@yahoo.com</v>
      </c>
      <c r="E55" t="str">
        <v>Chemistry</v>
      </c>
      <c r="F55">
        <v>3.16</v>
      </c>
      <c r="G55">
        <v>2029</v>
      </c>
      <c r="H55">
        <v>64.36</v>
      </c>
      <c r="I55" t="str">
        <v>FULL TIME</v>
      </c>
      <c r="J55" t="str">
        <v>Male</v>
      </c>
    </row>
    <row r="56" spans="1:10">
      <c r="A56">
        <v>8431</v>
      </c>
      <c r="B56" t="str">
        <v>Julie Martin</v>
      </c>
      <c r="C56">
        <v>25</v>
      </c>
      <c r="D56" t="str">
        <v>angelawilliams@gmail.com</v>
      </c>
      <c r="E56" t="str">
        <v>Chemistry</v>
      </c>
      <c r="F56">
        <v>3.56</v>
      </c>
      <c r="G56">
        <v>2030</v>
      </c>
      <c r="H56">
        <v>63.74</v>
      </c>
      <c r="I56" t="str">
        <v>FULL TIME</v>
      </c>
      <c r="J56" t="str">
        <v>Female</v>
      </c>
    </row>
    <row r="57" spans="1:10">
      <c r="A57">
        <v>4604</v>
      </c>
      <c r="B57" t="str">
        <v>Lisa Brown</v>
      </c>
      <c r="C57">
        <v>19</v>
      </c>
      <c r="D57" t="str">
        <v>annette64@gmail.com</v>
      </c>
      <c r="E57" t="str">
        <v>Physics</v>
      </c>
      <c r="F57">
        <v>2.81</v>
      </c>
      <c r="G57">
        <v>2025</v>
      </c>
      <c r="H57">
        <v>93.5</v>
      </c>
      <c r="I57" t="str">
        <v>FULL TIME</v>
      </c>
      <c r="J57" t="str">
        <v>Female</v>
      </c>
    </row>
    <row r="58" spans="1:10">
      <c r="A58">
        <v>7287</v>
      </c>
      <c r="B58" t="str">
        <v>Holly King</v>
      </c>
      <c r="C58">
        <v>23</v>
      </c>
      <c r="D58" t="str">
        <v>williamsjack@randolph.com</v>
      </c>
      <c r="E58" t="str">
        <v>Chemistry</v>
      </c>
      <c r="F58">
        <v>2.94</v>
      </c>
      <c r="G58">
        <v>2024</v>
      </c>
      <c r="H58">
        <v>76.41</v>
      </c>
      <c r="I58" t="str">
        <v>FULL TIME</v>
      </c>
      <c r="J58" t="str">
        <v>Male</v>
      </c>
    </row>
    <row r="59" spans="1:10">
      <c r="A59">
        <v>3481</v>
      </c>
      <c r="B59" t="str">
        <v>Ricky Sanders</v>
      </c>
      <c r="C59">
        <v>19</v>
      </c>
      <c r="D59" t="str">
        <v>buckleyandrew@gmail.com</v>
      </c>
      <c r="E59" t="str">
        <v>Computer Science</v>
      </c>
      <c r="F59">
        <v>3.8</v>
      </c>
      <c r="G59">
        <v>2027</v>
      </c>
      <c r="H59">
        <v>86.47</v>
      </c>
      <c r="I59" t="str">
        <v>FULL TIME</v>
      </c>
      <c r="J59" t="str">
        <v>Male</v>
      </c>
    </row>
    <row r="60" spans="1:10">
      <c r="A60">
        <v>3068</v>
      </c>
      <c r="B60" t="str">
        <v>Gary Taylor</v>
      </c>
      <c r="C60">
        <v>21</v>
      </c>
      <c r="D60" t="str">
        <v>veronicarogers@yahoo.com</v>
      </c>
      <c r="E60" t="str">
        <v>Mathematics</v>
      </c>
      <c r="F60">
        <v>2.62</v>
      </c>
      <c r="G60">
        <v>2030</v>
      </c>
      <c r="H60">
        <v>97.73</v>
      </c>
      <c r="I60" t="str">
        <v>FULL TIME</v>
      </c>
      <c r="J60" t="str">
        <v>Male</v>
      </c>
    </row>
    <row r="61" spans="1:10">
      <c r="A61">
        <v>4514</v>
      </c>
      <c r="B61" t="str">
        <v>Arthur Thornton</v>
      </c>
      <c r="C61">
        <v>25</v>
      </c>
      <c r="D61" t="str">
        <v>kirstenowen@yahoo.com</v>
      </c>
      <c r="E61" t="str">
        <v>Biology</v>
      </c>
      <c r="F61">
        <v>2.1</v>
      </c>
      <c r="G61">
        <v>2024</v>
      </c>
      <c r="H61">
        <v>69.81</v>
      </c>
      <c r="I61" t="str">
        <v>FULL TIME</v>
      </c>
      <c r="J61" t="str">
        <v>Male</v>
      </c>
    </row>
    <row r="62" spans="1:10">
      <c r="A62">
        <v>2499</v>
      </c>
      <c r="B62" t="str">
        <v>Eric Leonard</v>
      </c>
      <c r="C62">
        <v>23</v>
      </c>
      <c r="D62" t="str">
        <v>theresarosales@gmail.com</v>
      </c>
      <c r="E62" t="str">
        <v>Biology</v>
      </c>
      <c r="F62">
        <v>2.39</v>
      </c>
      <c r="G62">
        <v>2027</v>
      </c>
      <c r="H62">
        <v>60.53</v>
      </c>
      <c r="I62" t="str">
        <v>FULL TIME</v>
      </c>
      <c r="J62" t="str">
        <v>Male</v>
      </c>
    </row>
    <row r="63" spans="1:10">
      <c r="A63">
        <v>5212</v>
      </c>
      <c r="B63" t="str">
        <v>William Smith</v>
      </c>
      <c r="C63">
        <v>23</v>
      </c>
      <c r="D63" t="str">
        <v>daniel93@lee-morris.com</v>
      </c>
      <c r="E63" t="str">
        <v>Mathematics</v>
      </c>
      <c r="F63">
        <v>3.29</v>
      </c>
      <c r="G63">
        <v>2028</v>
      </c>
      <c r="H63">
        <v>60.97</v>
      </c>
      <c r="I63" t="str">
        <v>FULL TIME</v>
      </c>
      <c r="J63" t="str">
        <v>Male</v>
      </c>
    </row>
    <row r="64" spans="1:10">
      <c r="A64">
        <v>5550</v>
      </c>
      <c r="B64" t="str">
        <v>Daniel Daniel</v>
      </c>
      <c r="C64">
        <v>22</v>
      </c>
      <c r="D64" t="str">
        <v>christianbrown@yahoo.com</v>
      </c>
      <c r="E64" t="str">
        <v>Physics</v>
      </c>
      <c r="F64">
        <v>3.51</v>
      </c>
      <c r="G64">
        <v>2027</v>
      </c>
      <c r="H64">
        <v>88.38</v>
      </c>
      <c r="I64" t="str">
        <v>FULL TIME</v>
      </c>
      <c r="J64" t="str">
        <v>Male</v>
      </c>
    </row>
    <row r="65" spans="1:10">
      <c r="A65">
        <v>8265</v>
      </c>
      <c r="B65" t="str">
        <v>Joel Nicholson</v>
      </c>
      <c r="C65">
        <v>24</v>
      </c>
      <c r="D65" t="str">
        <v>michaelpratt@murray.net</v>
      </c>
      <c r="E65" t="str">
        <v>Chemistry</v>
      </c>
      <c r="F65">
        <v>2.79</v>
      </c>
      <c r="G65">
        <v>2027</v>
      </c>
      <c r="H65">
        <v>96.98</v>
      </c>
      <c r="I65" t="str">
        <v>FULL TIME</v>
      </c>
      <c r="J65" t="str">
        <v>Male</v>
      </c>
    </row>
    <row r="66" spans="1:10">
      <c r="A66">
        <v>6398</v>
      </c>
      <c r="B66" t="str">
        <v>Benjamin Burke</v>
      </c>
      <c r="C66">
        <v>18</v>
      </c>
      <c r="D66" t="str">
        <v>colemary@cochran.net</v>
      </c>
      <c r="E66" t="str">
        <v>Computer Science</v>
      </c>
      <c r="F66">
        <v>2.47</v>
      </c>
      <c r="G66">
        <v>2025</v>
      </c>
      <c r="H66">
        <v>78.69</v>
      </c>
      <c r="I66" t="str">
        <v>FULL TIME</v>
      </c>
      <c r="J66" t="str">
        <v>Male</v>
      </c>
    </row>
    <row r="67" spans="1:10">
      <c r="A67">
        <v>2706</v>
      </c>
      <c r="B67" t="str">
        <v>Brandi Roberts</v>
      </c>
      <c r="C67">
        <v>24</v>
      </c>
      <c r="D67" t="str">
        <v>joshua76@yahoo.com</v>
      </c>
      <c r="E67" t="str">
        <v>Computer Science</v>
      </c>
      <c r="F67">
        <v>3.88</v>
      </c>
      <c r="G67">
        <v>2025</v>
      </c>
      <c r="H67">
        <v>75</v>
      </c>
      <c r="I67" t="str">
        <v>FULL TIME</v>
      </c>
      <c r="J67" t="str">
        <v>Male</v>
      </c>
    </row>
    <row r="68" spans="1:10">
      <c r="A68">
        <v>9410</v>
      </c>
      <c r="B68" t="str">
        <v>Patrick Anderson</v>
      </c>
      <c r="C68">
        <v>19</v>
      </c>
      <c r="D68" t="str">
        <v>meganlewis@butler-bright.com</v>
      </c>
      <c r="E68" t="str">
        <v>Computer Science</v>
      </c>
      <c r="F68">
        <v>2.75</v>
      </c>
      <c r="G68">
        <v>2029</v>
      </c>
      <c r="H68">
        <v>81.71</v>
      </c>
      <c r="I68" t="str">
        <v>PART TIME</v>
      </c>
      <c r="J68" t="str">
        <v>Female</v>
      </c>
    </row>
    <row r="69" spans="1:10">
      <c r="A69">
        <v>5851</v>
      </c>
      <c r="B69" t="str">
        <v>Jerry Butler</v>
      </c>
      <c r="C69">
        <v>19</v>
      </c>
      <c r="D69" t="str">
        <v>sherri94@hines.net</v>
      </c>
      <c r="E69" t="str">
        <v>Computer Science</v>
      </c>
      <c r="F69">
        <v>2.18</v>
      </c>
      <c r="G69">
        <v>2030</v>
      </c>
      <c r="H69">
        <v>94.36</v>
      </c>
      <c r="I69" t="str">
        <v>FULL TIME</v>
      </c>
      <c r="J69" t="str">
        <v>Female</v>
      </c>
    </row>
    <row r="70" spans="1:10">
      <c r="A70">
        <v>9842</v>
      </c>
      <c r="B70" t="str">
        <v>Cynthia Garrett</v>
      </c>
      <c r="C70">
        <v>19</v>
      </c>
      <c r="D70" t="str">
        <v>rhall@gmail.com</v>
      </c>
      <c r="E70" t="str">
        <v>Mathematics</v>
      </c>
      <c r="F70">
        <v>3.18</v>
      </c>
      <c r="G70">
        <v>2027</v>
      </c>
      <c r="H70">
        <v>86.09</v>
      </c>
      <c r="I70" t="str">
        <v>FULL TIME</v>
      </c>
      <c r="J70" t="str">
        <v>Female</v>
      </c>
    </row>
    <row r="71" spans="1:10">
      <c r="A71">
        <v>6069</v>
      </c>
      <c r="B71" t="str">
        <v>Carrie Hall</v>
      </c>
      <c r="C71">
        <v>20</v>
      </c>
      <c r="D71" t="str">
        <v>stewartlori@yahoo.com</v>
      </c>
      <c r="E71" t="str">
        <v>Chemistry</v>
      </c>
      <c r="F71">
        <v>2.33</v>
      </c>
      <c r="G71">
        <v>2029</v>
      </c>
      <c r="H71">
        <v>69.32</v>
      </c>
      <c r="I71" t="str">
        <v>FULL TIME</v>
      </c>
      <c r="J71" t="str">
        <v>Male</v>
      </c>
    </row>
    <row r="72" spans="1:10">
      <c r="A72">
        <v>7081</v>
      </c>
      <c r="B72" t="str">
        <v>Paul Brown</v>
      </c>
      <c r="C72">
        <v>22</v>
      </c>
      <c r="D72" t="str">
        <v>uyoder@miller.com</v>
      </c>
      <c r="E72" t="str">
        <v>Chemistry</v>
      </c>
      <c r="F72">
        <v>3.46</v>
      </c>
      <c r="G72">
        <v>2027</v>
      </c>
      <c r="H72">
        <v>90.98</v>
      </c>
      <c r="I72" t="str">
        <v>FULL TIME</v>
      </c>
      <c r="J72" t="str">
        <v>Female</v>
      </c>
    </row>
    <row r="73" spans="1:10">
      <c r="A73">
        <v>9812</v>
      </c>
      <c r="B73" t="str">
        <v>William Villarreal</v>
      </c>
      <c r="C73">
        <v>20</v>
      </c>
      <c r="D73" t="str">
        <v>petersoncheryl@davis-bush.com</v>
      </c>
      <c r="E73" t="str">
        <v>Physics</v>
      </c>
      <c r="F73">
        <v>3.92</v>
      </c>
      <c r="G73">
        <v>2030</v>
      </c>
      <c r="H73">
        <v>65.38</v>
      </c>
      <c r="I73" t="str">
        <v>FULL TIME</v>
      </c>
      <c r="J73" t="str">
        <v>Female</v>
      </c>
    </row>
    <row r="74" spans="1:10">
      <c r="A74">
        <v>1790</v>
      </c>
      <c r="B74" t="str">
        <v>Randy Pittman</v>
      </c>
      <c r="C74">
        <v>19</v>
      </c>
      <c r="D74" t="str">
        <v>robin33@knapp.com</v>
      </c>
      <c r="E74" t="str">
        <v>Physics</v>
      </c>
      <c r="F74">
        <v>3.92</v>
      </c>
      <c r="G74">
        <v>2028</v>
      </c>
      <c r="H74">
        <v>66.62</v>
      </c>
      <c r="I74" t="str">
        <v>FULL TIME</v>
      </c>
      <c r="J74" t="str">
        <v>Female</v>
      </c>
    </row>
    <row r="75" spans="1:10">
      <c r="A75">
        <v>8268</v>
      </c>
      <c r="B75" t="str">
        <v>Alexandra Roth</v>
      </c>
      <c r="C75">
        <v>20</v>
      </c>
      <c r="D75" t="str">
        <v>kristin46@hotmail.com</v>
      </c>
      <c r="E75" t="str">
        <v>Mathematics</v>
      </c>
      <c r="F75">
        <v>2.87</v>
      </c>
      <c r="G75">
        <v>2025</v>
      </c>
      <c r="H75">
        <v>84.51</v>
      </c>
      <c r="I75" t="str">
        <v>FULL TIME</v>
      </c>
      <c r="J75" t="str">
        <v>Female</v>
      </c>
    </row>
    <row r="76" spans="1:10">
      <c r="A76">
        <v>1383</v>
      </c>
      <c r="B76" t="str">
        <v>Stephanie Mitchell</v>
      </c>
      <c r="C76">
        <v>18</v>
      </c>
      <c r="D76" t="str">
        <v>michellemoody@williams.com</v>
      </c>
      <c r="E76" t="str">
        <v>Chemistry</v>
      </c>
      <c r="F76">
        <v>3.68</v>
      </c>
      <c r="G76">
        <v>2026</v>
      </c>
      <c r="H76">
        <v>69.55</v>
      </c>
      <c r="I76" t="str">
        <v>FULL TIME</v>
      </c>
      <c r="J76" t="str">
        <v>Male</v>
      </c>
    </row>
    <row r="77" spans="1:10">
      <c r="A77">
        <v>4197</v>
      </c>
      <c r="B77" t="str">
        <v>Michelle Kemp</v>
      </c>
      <c r="C77">
        <v>23</v>
      </c>
      <c r="D77" t="str">
        <v>susanwilliams@hotmail.com</v>
      </c>
      <c r="E77" t="str">
        <v>Computer Science</v>
      </c>
      <c r="F77">
        <v>2.53</v>
      </c>
      <c r="G77">
        <v>2028</v>
      </c>
      <c r="H77">
        <v>88.19</v>
      </c>
      <c r="I77" t="str">
        <v>FULL TIME</v>
      </c>
      <c r="J77" t="str">
        <v>Male</v>
      </c>
    </row>
    <row r="78" spans="1:10">
      <c r="A78">
        <v>4517</v>
      </c>
      <c r="B78" t="str">
        <v>Corey Hicks</v>
      </c>
      <c r="C78">
        <v>25</v>
      </c>
      <c r="D78" t="str">
        <v>fosterglen@gmail.com</v>
      </c>
      <c r="E78" t="str">
        <v>Computer Science</v>
      </c>
      <c r="F78">
        <v>3.23</v>
      </c>
      <c r="G78">
        <v>2027</v>
      </c>
      <c r="H78">
        <v>73.98</v>
      </c>
      <c r="I78" t="str">
        <v>FULL TIME</v>
      </c>
      <c r="J78" t="str">
        <v>Male</v>
      </c>
    </row>
    <row r="79" spans="1:10">
      <c r="A79">
        <v>6733</v>
      </c>
      <c r="B79" t="str">
        <v>Melinda Hancock</v>
      </c>
      <c r="C79">
        <v>25</v>
      </c>
      <c r="D79" t="str">
        <v>linda93@gmail.com</v>
      </c>
      <c r="E79" t="str">
        <v>Biology</v>
      </c>
      <c r="F79">
        <v>2.6</v>
      </c>
      <c r="G79">
        <v>2026</v>
      </c>
      <c r="H79">
        <v>71.1</v>
      </c>
      <c r="I79" t="str">
        <v>FULL TIME</v>
      </c>
      <c r="J79" t="str">
        <v>Female</v>
      </c>
    </row>
    <row r="80" spans="1:10">
      <c r="A80">
        <v>5406</v>
      </c>
      <c r="B80" t="str">
        <v>Julian Smith</v>
      </c>
      <c r="C80">
        <v>22</v>
      </c>
      <c r="D80" t="str">
        <v>joseph78@gmail.com</v>
      </c>
      <c r="E80" t="str">
        <v>Computer Science</v>
      </c>
      <c r="F80">
        <v>3.84</v>
      </c>
      <c r="G80">
        <v>2029</v>
      </c>
      <c r="H80">
        <v>99.96</v>
      </c>
      <c r="I80" t="str">
        <v>FULL TIME</v>
      </c>
      <c r="J80" t="str">
        <v>Female</v>
      </c>
    </row>
    <row r="81" spans="1:10">
      <c r="A81">
        <v>5652</v>
      </c>
      <c r="B81" t="str">
        <v>Brooke Davis</v>
      </c>
      <c r="C81">
        <v>19</v>
      </c>
      <c r="D81" t="str">
        <v>millerkevin@white.com</v>
      </c>
      <c r="E81" t="str">
        <v>Chemistry</v>
      </c>
      <c r="F81">
        <v>3.35</v>
      </c>
      <c r="G81">
        <v>2030</v>
      </c>
      <c r="H81">
        <v>61.62</v>
      </c>
      <c r="I81" t="str">
        <v>FULL TIME</v>
      </c>
      <c r="J81" t="str">
        <v>Male</v>
      </c>
    </row>
    <row r="82" spans="1:10">
      <c r="A82">
        <v>4846</v>
      </c>
      <c r="B82" t="str">
        <v>Diane Williams</v>
      </c>
      <c r="C82">
        <v>20</v>
      </c>
      <c r="D82" t="str">
        <v>zmclean@boyd.net</v>
      </c>
      <c r="E82" t="str">
        <v>Computer Science</v>
      </c>
      <c r="F82">
        <v>2.83</v>
      </c>
      <c r="G82">
        <v>2027</v>
      </c>
      <c r="H82">
        <v>85.83</v>
      </c>
      <c r="I82" t="str">
        <v>FULL TIME</v>
      </c>
      <c r="J82" t="str">
        <v>Male</v>
      </c>
    </row>
    <row r="83" spans="1:10">
      <c r="A83">
        <v>9806</v>
      </c>
      <c r="B83" t="str">
        <v>Stephanie Beck</v>
      </c>
      <c r="C83">
        <v>18</v>
      </c>
      <c r="D83" t="str">
        <v>rwinters@hotmail.com</v>
      </c>
      <c r="E83" t="str">
        <v>Biology</v>
      </c>
      <c r="F83">
        <v>2.74</v>
      </c>
      <c r="G83">
        <v>2028</v>
      </c>
      <c r="H83">
        <v>61.55</v>
      </c>
      <c r="I83" t="str">
        <v>FULL TIME</v>
      </c>
      <c r="J83" t="str">
        <v>Female</v>
      </c>
    </row>
    <row r="84" spans="1:10">
      <c r="A84">
        <v>8526</v>
      </c>
      <c r="B84" t="str">
        <v>Joe Kim</v>
      </c>
      <c r="C84">
        <v>23</v>
      </c>
      <c r="D84" t="str">
        <v>salinaschristine@gmail.com</v>
      </c>
      <c r="E84" t="str">
        <v>Mathematics</v>
      </c>
      <c r="F84">
        <v>3.5</v>
      </c>
      <c r="G84">
        <v>2026</v>
      </c>
      <c r="H84">
        <v>90.41</v>
      </c>
      <c r="I84" t="str">
        <v>FULL TIME</v>
      </c>
      <c r="J84" t="str">
        <v>Male</v>
      </c>
    </row>
    <row r="85" spans="1:10">
      <c r="A85">
        <v>3257</v>
      </c>
      <c r="B85" t="str">
        <v>Tammy Byrd</v>
      </c>
      <c r="C85">
        <v>22</v>
      </c>
      <c r="D85" t="str">
        <v>phillipsmith@gmail.com</v>
      </c>
      <c r="E85" t="str">
        <v>Mathematics</v>
      </c>
      <c r="F85">
        <v>3.67</v>
      </c>
      <c r="G85">
        <v>2027</v>
      </c>
      <c r="H85">
        <v>69.2</v>
      </c>
      <c r="I85" t="str">
        <v>FULL TIME</v>
      </c>
      <c r="J85" t="str">
        <v>Male</v>
      </c>
    </row>
    <row r="86" spans="1:10">
      <c r="A86">
        <v>1214</v>
      </c>
      <c r="B86" t="str">
        <v>Scott Gomez</v>
      </c>
      <c r="C86">
        <v>24</v>
      </c>
      <c r="D86" t="str">
        <v>jacksonjulie@estrada.org</v>
      </c>
      <c r="E86" t="str">
        <v>Physics</v>
      </c>
      <c r="F86">
        <v>3.28</v>
      </c>
      <c r="G86">
        <v>2027</v>
      </c>
      <c r="H86">
        <v>63.59</v>
      </c>
      <c r="I86" t="str">
        <v>FULL TIME</v>
      </c>
      <c r="J86" t="str">
        <v>Male</v>
      </c>
    </row>
    <row r="87" spans="1:10">
      <c r="A87">
        <v>2921</v>
      </c>
      <c r="B87" t="str">
        <v>Sean Davis</v>
      </c>
      <c r="C87">
        <v>24</v>
      </c>
      <c r="D87" t="str">
        <v>tina80@miller-navarro.com</v>
      </c>
      <c r="E87" t="str">
        <v>Computer Science</v>
      </c>
      <c r="F87">
        <v>3.97</v>
      </c>
      <c r="G87">
        <v>2024</v>
      </c>
      <c r="H87">
        <v>85.94</v>
      </c>
      <c r="I87" t="str">
        <v>FULL TIME</v>
      </c>
      <c r="J87" t="str">
        <v>Female</v>
      </c>
    </row>
    <row r="88" spans="1:10">
      <c r="A88">
        <v>1853</v>
      </c>
      <c r="B88" t="str">
        <v>Luis Hunter</v>
      </c>
      <c r="C88">
        <v>19</v>
      </c>
      <c r="D88" t="str">
        <v>uschultz@palmer-lambert.biz</v>
      </c>
      <c r="E88" t="str">
        <v>Biology</v>
      </c>
      <c r="F88">
        <v>3.07</v>
      </c>
      <c r="G88">
        <v>2027</v>
      </c>
      <c r="H88">
        <v>89.3</v>
      </c>
      <c r="I88" t="str">
        <v>FULL TIME</v>
      </c>
      <c r="J88" t="str">
        <v>Male</v>
      </c>
    </row>
    <row r="89" spans="1:10">
      <c r="A89">
        <v>4418</v>
      </c>
      <c r="B89" t="str">
        <v>Rachel Mahoney MD</v>
      </c>
      <c r="C89">
        <v>25</v>
      </c>
      <c r="D89" t="str">
        <v>teresamitchell@hernandez.net</v>
      </c>
      <c r="E89" t="str">
        <v>Computer Science</v>
      </c>
      <c r="F89">
        <v>2.14</v>
      </c>
      <c r="G89">
        <v>2028</v>
      </c>
      <c r="H89">
        <v>87.12</v>
      </c>
      <c r="I89" t="str">
        <v>FULL TIME</v>
      </c>
      <c r="J89" t="str">
        <v>Female</v>
      </c>
    </row>
    <row r="90" spans="1:10">
      <c r="A90">
        <v>6729</v>
      </c>
      <c r="B90" t="str">
        <v>Christina Woodward</v>
      </c>
      <c r="C90">
        <v>18</v>
      </c>
      <c r="D90" t="str">
        <v>juan08@yahoo.com</v>
      </c>
      <c r="E90" t="str">
        <v>Physics</v>
      </c>
      <c r="F90">
        <v>3.52</v>
      </c>
      <c r="G90">
        <v>2026</v>
      </c>
      <c r="H90">
        <v>62.08</v>
      </c>
      <c r="I90" t="str">
        <v>FULL TIME</v>
      </c>
      <c r="J90" t="str">
        <v>Female</v>
      </c>
    </row>
    <row r="91" spans="1:10">
      <c r="A91">
        <v>4509</v>
      </c>
      <c r="B91" t="str">
        <v>Shawna Moore</v>
      </c>
      <c r="C91">
        <v>21</v>
      </c>
      <c r="D91" t="str">
        <v>joseyoung@richardson.net</v>
      </c>
      <c r="E91" t="str">
        <v>Physics</v>
      </c>
      <c r="F91">
        <v>3.16</v>
      </c>
      <c r="G91">
        <v>2024</v>
      </c>
      <c r="H91">
        <v>71.77</v>
      </c>
      <c r="I91" t="str">
        <v>FULL TIME</v>
      </c>
      <c r="J91" t="str">
        <v>Male</v>
      </c>
    </row>
    <row r="92" spans="1:10">
      <c r="A92">
        <v>8646</v>
      </c>
      <c r="B92" t="str">
        <v>Stacy Jones</v>
      </c>
      <c r="C92">
        <v>18</v>
      </c>
      <c r="D92" t="str">
        <v>currymelissa@coleman-meza.info</v>
      </c>
      <c r="E92" t="str">
        <v>Mathematics</v>
      </c>
      <c r="F92">
        <v>2.84</v>
      </c>
      <c r="G92">
        <v>2028</v>
      </c>
      <c r="H92">
        <v>78.04</v>
      </c>
      <c r="I92" t="str">
        <v>FULL TIME</v>
      </c>
      <c r="J92" t="str">
        <v>Male</v>
      </c>
    </row>
    <row r="93" spans="1:10">
      <c r="A93">
        <v>4675</v>
      </c>
      <c r="B93" t="str">
        <v>Ms. Susan Suarez</v>
      </c>
      <c r="C93">
        <v>25</v>
      </c>
      <c r="D93" t="str">
        <v>amanda13@smith.org</v>
      </c>
      <c r="E93" t="str">
        <v>Biology</v>
      </c>
      <c r="F93">
        <v>3.86</v>
      </c>
      <c r="G93">
        <v>2025</v>
      </c>
      <c r="H93">
        <v>71.48</v>
      </c>
      <c r="I93" t="str">
        <v>FULL TIME</v>
      </c>
      <c r="J93" t="str">
        <v>Female</v>
      </c>
    </row>
    <row r="94" spans="1:10">
      <c r="A94">
        <v>9291</v>
      </c>
      <c r="B94" t="str">
        <v>Donna Briggs</v>
      </c>
      <c r="C94">
        <v>23</v>
      </c>
      <c r="D94" t="str">
        <v>avalenzuela@norris-wood.org</v>
      </c>
      <c r="E94" t="str">
        <v>Chemistry</v>
      </c>
      <c r="F94">
        <v>2.3</v>
      </c>
      <c r="G94">
        <v>2028</v>
      </c>
      <c r="H94">
        <v>92.42</v>
      </c>
      <c r="I94" t="str">
        <v>FULL TIME</v>
      </c>
      <c r="J94" t="str">
        <v>Male</v>
      </c>
    </row>
    <row r="95" spans="1:10">
      <c r="A95">
        <v>8808</v>
      </c>
      <c r="B95" t="str">
        <v>Tiffany Russell</v>
      </c>
      <c r="C95">
        <v>20</v>
      </c>
      <c r="D95" t="str">
        <v>kimberly95@gmail.com</v>
      </c>
      <c r="E95" t="str">
        <v>Physics</v>
      </c>
      <c r="F95">
        <v>2.7</v>
      </c>
      <c r="G95">
        <v>2030</v>
      </c>
      <c r="H95">
        <v>65.24</v>
      </c>
      <c r="I95" t="str">
        <v>FULL TIME</v>
      </c>
      <c r="J95" t="str">
        <v>Female</v>
      </c>
    </row>
    <row r="96" spans="1:10">
      <c r="A96">
        <v>5441</v>
      </c>
      <c r="B96" t="str">
        <v>Shawn Phillips</v>
      </c>
      <c r="C96">
        <v>25</v>
      </c>
      <c r="D96" t="str">
        <v>mbass@hotmail.com</v>
      </c>
      <c r="E96" t="str">
        <v>Mathematics</v>
      </c>
      <c r="F96">
        <v>3.77</v>
      </c>
      <c r="G96">
        <v>2030</v>
      </c>
      <c r="H96">
        <v>84.49</v>
      </c>
      <c r="I96" t="str">
        <v>FULL TIME</v>
      </c>
      <c r="J96" t="str">
        <v>Male</v>
      </c>
    </row>
    <row r="97" spans="1:10">
      <c r="A97">
        <v>6001</v>
      </c>
      <c r="B97" t="str">
        <v>Peter Wilson</v>
      </c>
      <c r="C97">
        <v>22</v>
      </c>
      <c r="D97" t="str">
        <v>qcantu@woods.info</v>
      </c>
      <c r="E97" t="str">
        <v>Chemistry</v>
      </c>
      <c r="F97">
        <v>3.39</v>
      </c>
      <c r="G97">
        <v>2024</v>
      </c>
      <c r="H97">
        <v>99.53</v>
      </c>
      <c r="I97" t="str">
        <v>FULL TIME</v>
      </c>
      <c r="J97" t="str">
        <v>Male</v>
      </c>
    </row>
    <row r="98" spans="1:10">
      <c r="A98">
        <v>5630</v>
      </c>
      <c r="B98" t="str">
        <v>Joe Bernard</v>
      </c>
      <c r="C98">
        <v>21</v>
      </c>
      <c r="D98" t="str">
        <v>kimberly88@herring.info</v>
      </c>
      <c r="E98" t="str">
        <v>Chemistry</v>
      </c>
      <c r="F98">
        <v>3.2</v>
      </c>
      <c r="G98">
        <v>2024</v>
      </c>
      <c r="H98">
        <v>96.1</v>
      </c>
      <c r="I98" t="str">
        <v>PART TIME</v>
      </c>
      <c r="J98" t="str">
        <v>Male</v>
      </c>
    </row>
    <row r="99" spans="1:10">
      <c r="A99">
        <v>4311</v>
      </c>
      <c r="B99" t="str">
        <v>Brittany Hamilton</v>
      </c>
      <c r="C99">
        <v>21</v>
      </c>
      <c r="D99" t="str">
        <v>smithkaren@yahoo.com</v>
      </c>
      <c r="E99" t="str">
        <v>Biology</v>
      </c>
      <c r="F99">
        <v>3.95</v>
      </c>
      <c r="G99">
        <v>2024</v>
      </c>
      <c r="H99">
        <v>68.89</v>
      </c>
      <c r="I99" t="str">
        <v>FULL TIME</v>
      </c>
      <c r="J99" t="str">
        <v>Male</v>
      </c>
    </row>
    <row r="100" spans="1:10">
      <c r="A100">
        <v>6577</v>
      </c>
      <c r="B100" t="str">
        <v>Maria Rogers</v>
      </c>
      <c r="C100">
        <v>20</v>
      </c>
      <c r="D100" t="str">
        <v>reneemartinez@hotmail.com</v>
      </c>
      <c r="E100" t="str">
        <v>Physics</v>
      </c>
      <c r="F100">
        <v>2.11</v>
      </c>
      <c r="G100">
        <v>2027</v>
      </c>
      <c r="H100">
        <v>60</v>
      </c>
      <c r="I100" t="str">
        <v>FULL TIME</v>
      </c>
      <c r="J100" t="str">
        <v>Male</v>
      </c>
    </row>
    <row r="101" spans="1:10">
      <c r="A101">
        <v>6809</v>
      </c>
      <c r="B101" t="str">
        <v>Rebecca Miller</v>
      </c>
      <c r="C101">
        <v>23</v>
      </c>
      <c r="D101" t="str">
        <v>michaelconner@hotmail.com</v>
      </c>
      <c r="E101" t="str">
        <v>Biology</v>
      </c>
      <c r="F101">
        <v>2.76</v>
      </c>
      <c r="G101">
        <v>2024</v>
      </c>
      <c r="H101">
        <v>99.22</v>
      </c>
      <c r="I101" t="str">
        <v>FULL TIME</v>
      </c>
      <c r="J101" t="str">
        <v>Female</v>
      </c>
    </row>
    <row r="102" spans="1:10">
      <c r="A102">
        <v>2318</v>
      </c>
      <c r="B102" t="str">
        <v>Bryan Velazquez</v>
      </c>
      <c r="C102">
        <v>25</v>
      </c>
      <c r="D102" t="str">
        <v>bpowell@gmail.com</v>
      </c>
      <c r="E102" t="str">
        <v>Mathematics</v>
      </c>
      <c r="F102">
        <v>3</v>
      </c>
      <c r="G102">
        <v>2030</v>
      </c>
      <c r="H102">
        <v>95.31</v>
      </c>
      <c r="I102" t="str">
        <v>FULL TIME</v>
      </c>
      <c r="J102" t="str">
        <v>Female</v>
      </c>
    </row>
    <row r="103" spans="1:10">
      <c r="A103">
        <v>4948</v>
      </c>
      <c r="B103" t="str">
        <v>William Montgomery</v>
      </c>
      <c r="C103">
        <v>22</v>
      </c>
      <c r="D103" t="str">
        <v>chavezryan@smith.com</v>
      </c>
      <c r="E103" t="str">
        <v>Chemistry</v>
      </c>
      <c r="F103">
        <v>2.85</v>
      </c>
      <c r="G103">
        <v>2024</v>
      </c>
      <c r="H103">
        <v>96.78</v>
      </c>
      <c r="I103" t="str">
        <v>FULL TIME</v>
      </c>
      <c r="J103" t="str">
        <v>Male</v>
      </c>
    </row>
    <row r="104" spans="1:10">
      <c r="A104">
        <v>7574</v>
      </c>
      <c r="B104" t="str">
        <v>Robert Berg</v>
      </c>
      <c r="C104">
        <v>24</v>
      </c>
      <c r="D104" t="str">
        <v>stephensbrenda@perez.com</v>
      </c>
      <c r="E104" t="str">
        <v>Physics</v>
      </c>
      <c r="F104">
        <v>3.97</v>
      </c>
      <c r="G104">
        <v>2030</v>
      </c>
      <c r="H104">
        <v>76.62</v>
      </c>
      <c r="I104" t="str">
        <v>FULL TIME</v>
      </c>
      <c r="J104" t="str">
        <v>Male</v>
      </c>
    </row>
    <row r="105" spans="1:10">
      <c r="A105">
        <v>8155</v>
      </c>
      <c r="B105" t="str">
        <v>Peter White</v>
      </c>
      <c r="C105">
        <v>23</v>
      </c>
      <c r="D105" t="str">
        <v>goodwinrachel@burke.org</v>
      </c>
      <c r="E105" t="str">
        <v>Computer Science</v>
      </c>
      <c r="F105">
        <v>3.52</v>
      </c>
      <c r="G105">
        <v>2028</v>
      </c>
      <c r="H105">
        <v>89.78</v>
      </c>
      <c r="I105" t="str">
        <v>FULL TIME</v>
      </c>
      <c r="J105" t="str">
        <v>Male</v>
      </c>
    </row>
    <row r="106" spans="1:10">
      <c r="A106">
        <v>5776</v>
      </c>
      <c r="B106" t="str">
        <v>Ashley Garcia</v>
      </c>
      <c r="C106">
        <v>20</v>
      </c>
      <c r="D106" t="str">
        <v>daviscory@yahoo.com</v>
      </c>
      <c r="E106" t="str">
        <v>Physics</v>
      </c>
      <c r="F106">
        <v>3.37</v>
      </c>
      <c r="G106">
        <v>2030</v>
      </c>
      <c r="H106">
        <v>68.51</v>
      </c>
      <c r="I106" t="str">
        <v>FULL TIME</v>
      </c>
      <c r="J106" t="str">
        <v>Male</v>
      </c>
    </row>
    <row r="107" spans="1:10">
      <c r="A107">
        <v>1857</v>
      </c>
      <c r="B107" t="str">
        <v>Brandon Smith</v>
      </c>
      <c r="C107">
        <v>25</v>
      </c>
      <c r="D107" t="str">
        <v>ortizjoseph@moore.com</v>
      </c>
      <c r="E107" t="str">
        <v>Computer Science</v>
      </c>
      <c r="F107">
        <v>3.41</v>
      </c>
      <c r="G107">
        <v>2025</v>
      </c>
      <c r="H107">
        <v>75.69</v>
      </c>
      <c r="I107" t="str">
        <v>FULL TIME</v>
      </c>
      <c r="J107" t="str">
        <v>Male</v>
      </c>
    </row>
    <row r="108" spans="1:10">
      <c r="A108">
        <v>1742</v>
      </c>
      <c r="B108" t="str">
        <v>Kristen Orozco</v>
      </c>
      <c r="C108">
        <v>20</v>
      </c>
      <c r="D108" t="str">
        <v>vbonilla@ho.com</v>
      </c>
      <c r="E108" t="str">
        <v>Biology</v>
      </c>
      <c r="F108">
        <v>2.86</v>
      </c>
      <c r="G108">
        <v>2030</v>
      </c>
      <c r="H108">
        <v>94.06</v>
      </c>
      <c r="I108" t="str">
        <v>FULL TIME</v>
      </c>
      <c r="J108" t="str">
        <v>Male</v>
      </c>
    </row>
    <row r="109" spans="1:10">
      <c r="A109">
        <v>4406</v>
      </c>
      <c r="B109" t="str">
        <v>Joanna Logan</v>
      </c>
      <c r="C109">
        <v>21</v>
      </c>
      <c r="D109" t="str">
        <v>yflores@brooks.info</v>
      </c>
      <c r="E109" t="str">
        <v>Physics</v>
      </c>
      <c r="F109">
        <v>3.86</v>
      </c>
      <c r="G109">
        <v>2030</v>
      </c>
      <c r="H109">
        <v>65.1</v>
      </c>
      <c r="I109" t="str">
        <v>FULL TIME</v>
      </c>
      <c r="J109" t="str">
        <v>Male</v>
      </c>
    </row>
    <row r="110" spans="1:10">
      <c r="A110">
        <v>2800</v>
      </c>
      <c r="B110" t="str">
        <v>Mark Harper</v>
      </c>
      <c r="C110">
        <v>19</v>
      </c>
      <c r="D110" t="str">
        <v>mikayla15@chavez.com</v>
      </c>
      <c r="E110" t="str">
        <v>Computer Science</v>
      </c>
      <c r="F110">
        <v>2.99</v>
      </c>
      <c r="G110">
        <v>2029</v>
      </c>
      <c r="H110">
        <v>95.75</v>
      </c>
      <c r="I110" t="str">
        <v>FULL TIME</v>
      </c>
      <c r="J110" t="str">
        <v>Female</v>
      </c>
    </row>
    <row r="111" spans="1:10">
      <c r="A111">
        <v>1666</v>
      </c>
      <c r="B111" t="str">
        <v>Jaime Hanson</v>
      </c>
      <c r="C111">
        <v>20</v>
      </c>
      <c r="D111" t="str">
        <v>whitechristine@gonzalez.info</v>
      </c>
      <c r="E111" t="str">
        <v>Computer Science</v>
      </c>
      <c r="F111">
        <v>3.23</v>
      </c>
      <c r="G111">
        <v>2027</v>
      </c>
      <c r="H111">
        <v>79.86</v>
      </c>
      <c r="I111" t="str">
        <v>FULL TIME</v>
      </c>
      <c r="J111" t="str">
        <v>Male</v>
      </c>
    </row>
    <row r="112" spans="1:10">
      <c r="A112">
        <v>1328</v>
      </c>
      <c r="B112" t="str">
        <v>Johnathan Morris</v>
      </c>
      <c r="C112">
        <v>21</v>
      </c>
      <c r="D112" t="str">
        <v>cassiemcdonald@gmail.com</v>
      </c>
      <c r="E112" t="str">
        <v>Biology</v>
      </c>
      <c r="F112">
        <v>2.51</v>
      </c>
      <c r="G112">
        <v>2030</v>
      </c>
      <c r="H112">
        <v>77.04</v>
      </c>
      <c r="I112" t="str">
        <v>FULL TIME</v>
      </c>
      <c r="J112" t="str">
        <v>Female</v>
      </c>
    </row>
    <row r="113" spans="1:10">
      <c r="A113">
        <v>7728</v>
      </c>
      <c r="B113" t="str">
        <v>Jeffrey Sosa</v>
      </c>
      <c r="C113">
        <v>24</v>
      </c>
      <c r="D113" t="str">
        <v>nhardin@thomas.com</v>
      </c>
      <c r="E113" t="str">
        <v>Computer Science</v>
      </c>
      <c r="F113">
        <v>2.38</v>
      </c>
      <c r="G113">
        <v>2025</v>
      </c>
      <c r="H113">
        <v>72.23</v>
      </c>
      <c r="I113" t="str">
        <v>FULL TIME</v>
      </c>
      <c r="J113" t="str">
        <v>Male</v>
      </c>
    </row>
    <row r="114" spans="1:10">
      <c r="A114">
        <v>6489</v>
      </c>
      <c r="B114" t="str">
        <v>Mitchell Sharp</v>
      </c>
      <c r="C114">
        <v>24</v>
      </c>
      <c r="D114" t="str">
        <v>blackbrandi@gmail.com</v>
      </c>
      <c r="E114" t="str">
        <v>Chemistry</v>
      </c>
      <c r="F114">
        <v>3.25</v>
      </c>
      <c r="G114">
        <v>2027</v>
      </c>
      <c r="H114">
        <v>96.67</v>
      </c>
      <c r="I114" t="str">
        <v>FULL TIME</v>
      </c>
      <c r="J114" t="str">
        <v>Male</v>
      </c>
    </row>
    <row r="115" spans="1:10">
      <c r="A115">
        <v>9047</v>
      </c>
      <c r="B115" t="str">
        <v>Jose Peters</v>
      </c>
      <c r="C115">
        <v>23</v>
      </c>
      <c r="D115" t="str">
        <v>zrowe@morales.net</v>
      </c>
      <c r="E115" t="str">
        <v>Chemistry</v>
      </c>
      <c r="F115">
        <v>2.14</v>
      </c>
      <c r="G115">
        <v>2025</v>
      </c>
      <c r="H115">
        <v>80.7</v>
      </c>
      <c r="I115" t="str">
        <v>FULL TIME</v>
      </c>
      <c r="J115" t="str">
        <v>Male</v>
      </c>
    </row>
    <row r="116" spans="1:10">
      <c r="A116">
        <v>5788</v>
      </c>
      <c r="B116" t="str">
        <v>Jeffrey Torres</v>
      </c>
      <c r="C116">
        <v>18</v>
      </c>
      <c r="D116" t="str">
        <v>yvonnemiller@robinson.com</v>
      </c>
      <c r="E116" t="str">
        <v>Biology</v>
      </c>
      <c r="F116">
        <v>3.75</v>
      </c>
      <c r="G116">
        <v>2025</v>
      </c>
      <c r="H116">
        <v>92.16</v>
      </c>
      <c r="I116" t="str">
        <v>FULL TIME</v>
      </c>
      <c r="J116" t="str">
        <v>Male</v>
      </c>
    </row>
    <row r="117" spans="1:10">
      <c r="A117">
        <v>8426</v>
      </c>
      <c r="B117" t="str">
        <v>Noah Lee</v>
      </c>
      <c r="C117">
        <v>25</v>
      </c>
      <c r="D117" t="str">
        <v>olucas@cline-robinson.com</v>
      </c>
      <c r="E117" t="str">
        <v>Physics</v>
      </c>
      <c r="F117">
        <v>2.2</v>
      </c>
      <c r="G117">
        <v>2027</v>
      </c>
      <c r="H117">
        <v>94.31</v>
      </c>
      <c r="I117" t="str">
        <v>FULL TIME</v>
      </c>
      <c r="J117" t="str">
        <v>Male</v>
      </c>
    </row>
    <row r="118" spans="1:10">
      <c r="A118">
        <v>8366</v>
      </c>
      <c r="B118" t="str">
        <v>Jeremy Graham</v>
      </c>
      <c r="C118">
        <v>20</v>
      </c>
      <c r="D118" t="str">
        <v>dcontreras@hotmail.com</v>
      </c>
      <c r="E118" t="str">
        <v>Biology</v>
      </c>
      <c r="F118">
        <v>2.77</v>
      </c>
      <c r="G118">
        <v>2030</v>
      </c>
      <c r="H118">
        <v>96.9</v>
      </c>
      <c r="I118" t="str">
        <v>FULL TIME</v>
      </c>
      <c r="J118" t="str">
        <v>Female</v>
      </c>
    </row>
    <row r="119" spans="1:10">
      <c r="A119">
        <v>2963</v>
      </c>
      <c r="B119" t="str">
        <v>Mary Harrison</v>
      </c>
      <c r="C119">
        <v>21</v>
      </c>
      <c r="D119" t="str">
        <v>tylerbaldwin@yahoo.com</v>
      </c>
      <c r="E119" t="str">
        <v>Biology</v>
      </c>
      <c r="F119">
        <v>2.99</v>
      </c>
      <c r="G119">
        <v>2027</v>
      </c>
      <c r="H119">
        <v>72.14</v>
      </c>
      <c r="I119" t="str">
        <v>FULL TIME</v>
      </c>
      <c r="J119" t="str">
        <v>Male</v>
      </c>
    </row>
    <row r="120" spans="1:10">
      <c r="A120">
        <v>3669</v>
      </c>
      <c r="B120" t="str">
        <v>Meghan Roy</v>
      </c>
      <c r="C120">
        <v>23</v>
      </c>
      <c r="D120" t="str">
        <v>ystevens@yahoo.com</v>
      </c>
      <c r="E120" t="str">
        <v>Computer Science</v>
      </c>
      <c r="F120">
        <v>2.48</v>
      </c>
      <c r="G120">
        <v>2025</v>
      </c>
      <c r="H120">
        <v>73.59</v>
      </c>
      <c r="I120" t="str">
        <v>FULL TIME</v>
      </c>
      <c r="J120" t="str">
        <v>Male</v>
      </c>
    </row>
    <row r="121" spans="1:10">
      <c r="A121">
        <v>4925</v>
      </c>
      <c r="B121" t="str">
        <v>Kevin Moore</v>
      </c>
      <c r="C121">
        <v>20</v>
      </c>
      <c r="D121" t="str">
        <v>michaelarroyo@guerrero.com</v>
      </c>
      <c r="E121" t="str">
        <v>Computer Science</v>
      </c>
      <c r="F121">
        <v>3.63</v>
      </c>
      <c r="G121">
        <v>2027</v>
      </c>
      <c r="H121">
        <v>83.8</v>
      </c>
      <c r="I121" t="str">
        <v>FULL TIME</v>
      </c>
      <c r="J121" t="str">
        <v>Female</v>
      </c>
    </row>
    <row r="122" spans="1:10">
      <c r="A122">
        <v>6915</v>
      </c>
      <c r="B122" t="str">
        <v>Pedro Roth</v>
      </c>
      <c r="C122">
        <v>23</v>
      </c>
      <c r="D122" t="str">
        <v>knightkelly@miller-wong.org</v>
      </c>
      <c r="E122" t="str">
        <v>Chemistry</v>
      </c>
      <c r="F122">
        <v>3.03</v>
      </c>
      <c r="G122">
        <v>2030</v>
      </c>
      <c r="H122">
        <v>77.65</v>
      </c>
      <c r="I122" t="str">
        <v>FULL TIME</v>
      </c>
      <c r="J122" t="str">
        <v>Female</v>
      </c>
    </row>
    <row r="123" spans="1:10">
      <c r="A123">
        <v>4538</v>
      </c>
      <c r="B123" t="str">
        <v>Holly Donaldson</v>
      </c>
      <c r="C123">
        <v>23</v>
      </c>
      <c r="D123" t="str">
        <v>katherine18@hammond.info</v>
      </c>
      <c r="E123" t="str">
        <v>Physics</v>
      </c>
      <c r="F123">
        <v>3.65</v>
      </c>
      <c r="G123">
        <v>2025</v>
      </c>
      <c r="H123">
        <v>97.31</v>
      </c>
      <c r="I123" t="str">
        <v>FULL TIME</v>
      </c>
      <c r="J123" t="str">
        <v>Male</v>
      </c>
    </row>
    <row r="124" spans="1:10">
      <c r="A124">
        <v>1663</v>
      </c>
      <c r="B124" t="str">
        <v>Patricia Boyer</v>
      </c>
      <c r="C124">
        <v>18</v>
      </c>
      <c r="D124" t="str">
        <v>fcabrera@haynes-clark.com</v>
      </c>
      <c r="E124" t="str">
        <v>Physics</v>
      </c>
      <c r="F124">
        <v>3.32</v>
      </c>
      <c r="G124">
        <v>2030</v>
      </c>
      <c r="H124">
        <v>75.9</v>
      </c>
      <c r="I124" t="str">
        <v>FULL TIME</v>
      </c>
      <c r="J124" t="str">
        <v>Female</v>
      </c>
    </row>
    <row r="125" spans="1:10">
      <c r="A125">
        <v>1708</v>
      </c>
      <c r="B125" t="str">
        <v>Alexander Mccarty</v>
      </c>
      <c r="C125">
        <v>22</v>
      </c>
      <c r="D125" t="str">
        <v>sandra21@burnett-gutierrez.com</v>
      </c>
      <c r="E125" t="str">
        <v>Biology</v>
      </c>
      <c r="F125">
        <v>3.37</v>
      </c>
      <c r="G125">
        <v>2027</v>
      </c>
      <c r="H125">
        <v>79.11</v>
      </c>
      <c r="I125" t="str">
        <v>FULL TIME</v>
      </c>
      <c r="J125" t="str">
        <v>Male</v>
      </c>
    </row>
    <row r="126" spans="1:10">
      <c r="A126">
        <v>9707</v>
      </c>
      <c r="B126" t="str">
        <v>Michael Baldwin DDS</v>
      </c>
      <c r="C126">
        <v>25</v>
      </c>
      <c r="D126" t="str">
        <v>joshuagibbs@ross.biz</v>
      </c>
      <c r="E126" t="str">
        <v>Computer Science</v>
      </c>
      <c r="F126">
        <v>2.41</v>
      </c>
      <c r="G126">
        <v>2026</v>
      </c>
      <c r="H126">
        <v>84.69</v>
      </c>
      <c r="I126" t="str">
        <v>FULL TIME</v>
      </c>
      <c r="J126" t="str">
        <v>Male</v>
      </c>
    </row>
    <row r="127" spans="1:10">
      <c r="A127">
        <v>4188</v>
      </c>
      <c r="B127" t="str">
        <v>Anna Harper</v>
      </c>
      <c r="C127">
        <v>23</v>
      </c>
      <c r="D127" t="str">
        <v>marcpatel@gmail.com</v>
      </c>
      <c r="E127" t="str">
        <v>Computer Science</v>
      </c>
      <c r="F127">
        <v>3.8</v>
      </c>
      <c r="G127">
        <v>2027</v>
      </c>
      <c r="H127">
        <v>76.19</v>
      </c>
      <c r="I127" t="str">
        <v>FULL TIME</v>
      </c>
      <c r="J127" t="str">
        <v>Male</v>
      </c>
    </row>
    <row r="128" spans="1:10">
      <c r="A128">
        <v>5902</v>
      </c>
      <c r="B128" t="str">
        <v>Steve Green</v>
      </c>
      <c r="C128">
        <v>24</v>
      </c>
      <c r="D128" t="str">
        <v>gabrielbrown@hotmail.com</v>
      </c>
      <c r="E128" t="str">
        <v>Chemistry</v>
      </c>
      <c r="F128">
        <v>2.9</v>
      </c>
      <c r="G128">
        <v>2025</v>
      </c>
      <c r="H128">
        <v>99.7</v>
      </c>
      <c r="I128" t="str">
        <v>FULL TIME</v>
      </c>
      <c r="J128" t="str">
        <v>Male</v>
      </c>
    </row>
    <row r="129" spans="1:10">
      <c r="A129">
        <v>7107</v>
      </c>
      <c r="B129" t="str">
        <v>Edwin Boyd</v>
      </c>
      <c r="C129">
        <v>18</v>
      </c>
      <c r="D129" t="str">
        <v>aaron93@yahoo.com</v>
      </c>
      <c r="E129" t="str">
        <v>Physics</v>
      </c>
      <c r="F129">
        <v>3.44</v>
      </c>
      <c r="G129">
        <v>2025</v>
      </c>
      <c r="H129">
        <v>63.95</v>
      </c>
      <c r="I129" t="str">
        <v>FULL TIME</v>
      </c>
      <c r="J129" t="str">
        <v>Female</v>
      </c>
    </row>
    <row r="130" spans="1:10">
      <c r="A130">
        <v>8040</v>
      </c>
      <c r="B130" t="str">
        <v>Emily Chambers</v>
      </c>
      <c r="C130">
        <v>20</v>
      </c>
      <c r="D130" t="str">
        <v>bridgessavannah@yahoo.com</v>
      </c>
      <c r="E130" t="str">
        <v>Physics</v>
      </c>
      <c r="F130">
        <v>2.51</v>
      </c>
      <c r="G130">
        <v>2029</v>
      </c>
      <c r="H130">
        <v>68.82</v>
      </c>
      <c r="I130" t="str">
        <v>FULL TIME</v>
      </c>
      <c r="J130" t="str">
        <v>Male</v>
      </c>
    </row>
    <row r="131" spans="1:10">
      <c r="A131">
        <v>4140</v>
      </c>
      <c r="B131" t="str">
        <v>Hunter Martinez</v>
      </c>
      <c r="C131">
        <v>21</v>
      </c>
      <c r="D131" t="str">
        <v>sandy22@rollins.com</v>
      </c>
      <c r="E131" t="str">
        <v>Physics</v>
      </c>
      <c r="F131">
        <v>2.02</v>
      </c>
      <c r="G131">
        <v>2028</v>
      </c>
      <c r="H131">
        <v>72.91</v>
      </c>
      <c r="I131" t="str">
        <v>FULL TIME</v>
      </c>
      <c r="J131" t="str">
        <v>Male</v>
      </c>
    </row>
    <row r="132" spans="1:10">
      <c r="A132">
        <v>3797</v>
      </c>
      <c r="B132" t="str">
        <v>Victor Moss</v>
      </c>
      <c r="C132">
        <v>21</v>
      </c>
      <c r="D132" t="str">
        <v>morgan52@taylor.com</v>
      </c>
      <c r="E132" t="str">
        <v>Physics</v>
      </c>
      <c r="F132">
        <v>3.37</v>
      </c>
      <c r="G132">
        <v>2029</v>
      </c>
      <c r="H132">
        <v>65.91</v>
      </c>
      <c r="I132" t="str">
        <v>FULL TIME</v>
      </c>
      <c r="J132" t="str">
        <v>Female</v>
      </c>
    </row>
    <row r="133" spans="1:10">
      <c r="A133">
        <v>7752</v>
      </c>
      <c r="B133" t="str">
        <v>Kelly Lucas</v>
      </c>
      <c r="C133">
        <v>18</v>
      </c>
      <c r="D133" t="str">
        <v>schwartztina@yahoo.com</v>
      </c>
      <c r="E133" t="str">
        <v>Physics</v>
      </c>
      <c r="F133">
        <v>3.72</v>
      </c>
      <c r="G133">
        <v>2026</v>
      </c>
      <c r="H133">
        <v>71.37</v>
      </c>
      <c r="I133" t="str">
        <v>FULL TIME</v>
      </c>
      <c r="J133" t="str">
        <v>Male</v>
      </c>
    </row>
    <row r="134" spans="1:10">
      <c r="A134">
        <v>8473</v>
      </c>
      <c r="B134" t="str">
        <v>Reginald Richardson</v>
      </c>
      <c r="C134">
        <v>21</v>
      </c>
      <c r="D134" t="str">
        <v>bakerjeremy@young-jones.info</v>
      </c>
      <c r="E134" t="str">
        <v>Computer Science</v>
      </c>
      <c r="F134">
        <v>2.04</v>
      </c>
      <c r="G134">
        <v>2024</v>
      </c>
      <c r="H134">
        <v>91.17</v>
      </c>
      <c r="I134" t="str">
        <v>FULL TIME</v>
      </c>
      <c r="J134" t="str">
        <v>Female</v>
      </c>
    </row>
    <row r="135" spans="1:10">
      <c r="A135">
        <v>1613</v>
      </c>
      <c r="B135" t="str">
        <v>Patrick Sanchez</v>
      </c>
      <c r="C135">
        <v>22</v>
      </c>
      <c r="D135" t="str">
        <v>smithamanda@johnson.org</v>
      </c>
      <c r="E135" t="str">
        <v>Chemistry</v>
      </c>
      <c r="F135">
        <v>2.08</v>
      </c>
      <c r="G135">
        <v>2026</v>
      </c>
      <c r="H135">
        <v>80.92</v>
      </c>
      <c r="I135" t="str">
        <v>FULL TIME</v>
      </c>
      <c r="J135" t="str">
        <v>Female</v>
      </c>
    </row>
    <row r="136" spans="1:10">
      <c r="A136">
        <v>8298</v>
      </c>
      <c r="B136" t="str">
        <v>Michelle Chen DDS</v>
      </c>
      <c r="C136">
        <v>24</v>
      </c>
      <c r="D136" t="str">
        <v>rebeccapreston@young.info</v>
      </c>
      <c r="E136" t="str">
        <v>Computer Science</v>
      </c>
      <c r="F136">
        <v>2.5</v>
      </c>
      <c r="G136">
        <v>2027</v>
      </c>
      <c r="H136">
        <v>61.36</v>
      </c>
      <c r="I136" t="str">
        <v>FULL TIME</v>
      </c>
      <c r="J136" t="str">
        <v>Female</v>
      </c>
    </row>
    <row r="137" spans="1:10">
      <c r="A137">
        <v>6502</v>
      </c>
      <c r="B137" t="str">
        <v>Richard Sherman</v>
      </c>
      <c r="C137">
        <v>22</v>
      </c>
      <c r="D137" t="str">
        <v>alexandra82@yahoo.com</v>
      </c>
      <c r="E137" t="str">
        <v>Physics</v>
      </c>
      <c r="F137">
        <v>2.9</v>
      </c>
      <c r="G137">
        <v>2030</v>
      </c>
      <c r="H137">
        <v>99.3</v>
      </c>
      <c r="I137" t="str">
        <v>FULL TIME</v>
      </c>
      <c r="J137" t="str">
        <v>Female</v>
      </c>
    </row>
    <row r="138" spans="1:10">
      <c r="A138">
        <v>7506</v>
      </c>
      <c r="B138" t="str">
        <v>Robert Williams</v>
      </c>
      <c r="C138">
        <v>18</v>
      </c>
      <c r="D138" t="str">
        <v>salvarado@yahoo.com</v>
      </c>
      <c r="E138" t="str">
        <v>Chemistry</v>
      </c>
      <c r="F138">
        <v>3.18</v>
      </c>
      <c r="G138">
        <v>2024</v>
      </c>
      <c r="H138">
        <v>84.64</v>
      </c>
      <c r="I138" t="str">
        <v>FULL TIME</v>
      </c>
      <c r="J138" t="str">
        <v>Female</v>
      </c>
    </row>
    <row r="139" spans="1:10">
      <c r="A139">
        <v>4633</v>
      </c>
      <c r="B139" t="str">
        <v>Samuel Alexander</v>
      </c>
      <c r="C139">
        <v>24</v>
      </c>
      <c r="D139" t="str">
        <v>iherring@solis.com</v>
      </c>
      <c r="E139" t="str">
        <v>Computer Science</v>
      </c>
      <c r="F139">
        <v>3.77</v>
      </c>
      <c r="G139">
        <v>2024</v>
      </c>
      <c r="H139">
        <v>62.36</v>
      </c>
      <c r="I139" t="str">
        <v>FULL TIME</v>
      </c>
      <c r="J139" t="str">
        <v>Female</v>
      </c>
    </row>
    <row r="140" spans="1:10">
      <c r="A140">
        <v>9239</v>
      </c>
      <c r="B140" t="str">
        <v>Anthony Graham</v>
      </c>
      <c r="C140">
        <v>21</v>
      </c>
      <c r="D140" t="str">
        <v>anamartin@hotmail.com</v>
      </c>
      <c r="E140" t="str">
        <v>Mathematics</v>
      </c>
      <c r="F140">
        <v>2.02</v>
      </c>
      <c r="G140">
        <v>2026</v>
      </c>
      <c r="H140">
        <v>86.45</v>
      </c>
      <c r="I140" t="str">
        <v>FULL TIME</v>
      </c>
      <c r="J140" t="str">
        <v>Male</v>
      </c>
    </row>
    <row r="141" spans="1:10">
      <c r="A141">
        <v>9872</v>
      </c>
      <c r="B141" t="str">
        <v>Dr. Lynn Hoffman</v>
      </c>
      <c r="C141">
        <v>25</v>
      </c>
      <c r="D141" t="str">
        <v>jonathangarner@yahoo.com</v>
      </c>
      <c r="E141" t="str">
        <v>Mathematics</v>
      </c>
      <c r="F141">
        <v>3.26</v>
      </c>
      <c r="G141">
        <v>2027</v>
      </c>
      <c r="H141">
        <v>75.13</v>
      </c>
      <c r="I141" t="str">
        <v>FULL TIME</v>
      </c>
      <c r="J141" t="str">
        <v>Male</v>
      </c>
    </row>
    <row r="142" spans="1:10">
      <c r="A142">
        <v>6585</v>
      </c>
      <c r="B142" t="str">
        <v>Miss April Howard</v>
      </c>
      <c r="C142">
        <v>21</v>
      </c>
      <c r="D142" t="str">
        <v>brusso@hotmail.com</v>
      </c>
      <c r="E142" t="str">
        <v>Mathematics</v>
      </c>
      <c r="F142">
        <v>2.3</v>
      </c>
      <c r="G142">
        <v>2024</v>
      </c>
      <c r="H142">
        <v>65.43</v>
      </c>
      <c r="I142" t="str">
        <v>FULL TIME</v>
      </c>
      <c r="J142" t="str">
        <v>Female</v>
      </c>
    </row>
    <row r="143" spans="1:10">
      <c r="A143">
        <v>1594</v>
      </c>
      <c r="B143" t="str">
        <v>Tyler Rodriguez</v>
      </c>
      <c r="C143">
        <v>23</v>
      </c>
      <c r="D143" t="str">
        <v>cruzjohn@hotmail.com</v>
      </c>
      <c r="E143" t="str">
        <v>Physics</v>
      </c>
      <c r="F143">
        <v>3.86</v>
      </c>
      <c r="G143">
        <v>2028</v>
      </c>
      <c r="H143">
        <v>82.55</v>
      </c>
      <c r="I143" t="str">
        <v>FULL TIME</v>
      </c>
      <c r="J143" t="str">
        <v>Male</v>
      </c>
    </row>
    <row r="144" spans="1:10">
      <c r="A144">
        <v>7265</v>
      </c>
      <c r="B144" t="str">
        <v>Kevin Bowman</v>
      </c>
      <c r="C144">
        <v>25</v>
      </c>
      <c r="D144" t="str">
        <v>brownronald@clay.com</v>
      </c>
      <c r="E144" t="str">
        <v>Chemistry</v>
      </c>
      <c r="F144">
        <v>3.98</v>
      </c>
      <c r="G144">
        <v>2030</v>
      </c>
      <c r="H144">
        <v>89.08</v>
      </c>
      <c r="I144" t="str">
        <v>FULL TIME</v>
      </c>
      <c r="J144" t="str">
        <v>Male</v>
      </c>
    </row>
    <row r="145" spans="1:10">
      <c r="A145">
        <v>9985</v>
      </c>
      <c r="B145" t="str">
        <v>Christopher Henry</v>
      </c>
      <c r="C145">
        <v>19</v>
      </c>
      <c r="D145" t="str">
        <v>steelejohn@nguyen.com</v>
      </c>
      <c r="E145" t="str">
        <v>Chemistry</v>
      </c>
      <c r="F145">
        <v>3.07</v>
      </c>
      <c r="G145">
        <v>2030</v>
      </c>
      <c r="H145">
        <v>86.85</v>
      </c>
      <c r="I145" t="str">
        <v>FULL TIME</v>
      </c>
      <c r="J145" t="str">
        <v>Male</v>
      </c>
    </row>
    <row r="146" spans="1:10">
      <c r="A146">
        <v>9204</v>
      </c>
      <c r="B146" t="str">
        <v>Joshua Richardson</v>
      </c>
      <c r="C146">
        <v>22</v>
      </c>
      <c r="D146" t="str">
        <v>stephenanderson@gmail.com</v>
      </c>
      <c r="E146" t="str">
        <v>Chemistry</v>
      </c>
      <c r="F146">
        <v>2.14</v>
      </c>
      <c r="G146">
        <v>2024</v>
      </c>
      <c r="H146">
        <v>69.9</v>
      </c>
      <c r="I146" t="str">
        <v>FULL TIME</v>
      </c>
      <c r="J146" t="str">
        <v>Female</v>
      </c>
    </row>
    <row r="147" spans="1:10">
      <c r="A147">
        <v>1959</v>
      </c>
      <c r="B147" t="str">
        <v>Amy Washington</v>
      </c>
      <c r="C147">
        <v>21</v>
      </c>
      <c r="D147" t="str">
        <v>stephen13@miller.com</v>
      </c>
      <c r="E147" t="str">
        <v>Biology</v>
      </c>
      <c r="F147">
        <v>3.85</v>
      </c>
      <c r="G147">
        <v>2030</v>
      </c>
      <c r="H147">
        <v>80.99</v>
      </c>
      <c r="I147" t="str">
        <v>FULL TIME</v>
      </c>
      <c r="J147" t="str">
        <v>Male</v>
      </c>
    </row>
    <row r="148" spans="1:10">
      <c r="A148">
        <v>4036</v>
      </c>
      <c r="B148" t="str">
        <v>Amanda Cook</v>
      </c>
      <c r="C148">
        <v>18</v>
      </c>
      <c r="D148" t="str">
        <v>hannahdillon@giles.com</v>
      </c>
      <c r="E148" t="str">
        <v>Computer Science</v>
      </c>
      <c r="F148">
        <v>3.19</v>
      </c>
      <c r="G148">
        <v>2028</v>
      </c>
      <c r="H148">
        <v>81.51</v>
      </c>
      <c r="I148" t="str">
        <v>FULL TIME</v>
      </c>
      <c r="J148" t="str">
        <v>Male</v>
      </c>
    </row>
    <row r="149" spans="1:10">
      <c r="A149">
        <v>3694</v>
      </c>
      <c r="B149" t="str">
        <v>Scott Montes</v>
      </c>
      <c r="C149">
        <v>24</v>
      </c>
      <c r="D149" t="str">
        <v>vanessameyers@hotmail.com</v>
      </c>
      <c r="E149" t="str">
        <v>Chemistry</v>
      </c>
      <c r="F149">
        <v>2.03</v>
      </c>
      <c r="G149">
        <v>2026</v>
      </c>
      <c r="H149">
        <v>88.67</v>
      </c>
      <c r="I149" t="str">
        <v>FULL TIME</v>
      </c>
      <c r="J149" t="str">
        <v>Male</v>
      </c>
    </row>
    <row r="150" spans="1:10">
      <c r="A150">
        <v>7829</v>
      </c>
      <c r="B150" t="str">
        <v>Sean Thomas</v>
      </c>
      <c r="C150">
        <v>21</v>
      </c>
      <c r="D150" t="str">
        <v>april31@gmail.com</v>
      </c>
      <c r="E150" t="str">
        <v>Physics</v>
      </c>
      <c r="F150">
        <v>3.64</v>
      </c>
      <c r="G150">
        <v>2029</v>
      </c>
      <c r="H150">
        <v>74.39</v>
      </c>
      <c r="I150" t="str">
        <v>FULL TIME</v>
      </c>
      <c r="J150" t="str">
        <v>Male</v>
      </c>
    </row>
    <row r="151" spans="1:10">
      <c r="A151">
        <v>8694</v>
      </c>
      <c r="B151" t="str">
        <v>Amanda Roberts</v>
      </c>
      <c r="C151">
        <v>19</v>
      </c>
      <c r="D151" t="str">
        <v>michael36@yahoo.com</v>
      </c>
      <c r="E151" t="str">
        <v>Biology</v>
      </c>
      <c r="F151">
        <v>2.55</v>
      </c>
      <c r="G151">
        <v>2029</v>
      </c>
      <c r="H151">
        <v>91.91</v>
      </c>
      <c r="I151" t="str">
        <v>FULL TIME</v>
      </c>
      <c r="J151" t="str">
        <v>Female</v>
      </c>
    </row>
    <row r="152" spans="1:10">
      <c r="A152">
        <v>9382</v>
      </c>
      <c r="B152" t="str">
        <v>Joanna Rose</v>
      </c>
      <c r="C152">
        <v>22</v>
      </c>
      <c r="D152" t="str">
        <v>timothyfuentes@gmail.com</v>
      </c>
      <c r="E152" t="str">
        <v>Physics</v>
      </c>
      <c r="F152">
        <v>2.71</v>
      </c>
      <c r="G152">
        <v>2025</v>
      </c>
      <c r="H152">
        <v>85.12</v>
      </c>
      <c r="I152" t="str">
        <v>FULL TIME</v>
      </c>
      <c r="J152" t="str">
        <v>Male</v>
      </c>
    </row>
    <row r="153" spans="1:10">
      <c r="A153">
        <v>1113</v>
      </c>
      <c r="B153" t="str">
        <v>Willie Russell</v>
      </c>
      <c r="C153">
        <v>18</v>
      </c>
      <c r="D153" t="str">
        <v>susan10@yahoo.com</v>
      </c>
      <c r="E153" t="str">
        <v>Computer Science</v>
      </c>
      <c r="F153">
        <v>2.51</v>
      </c>
      <c r="G153">
        <v>2028</v>
      </c>
      <c r="H153">
        <v>61.53</v>
      </c>
      <c r="I153" t="str">
        <v>FULL TIME</v>
      </c>
      <c r="J153" t="str">
        <v>Male</v>
      </c>
    </row>
    <row r="154" spans="1:10">
      <c r="A154">
        <v>7637</v>
      </c>
      <c r="B154" t="str">
        <v>Peter Day</v>
      </c>
      <c r="C154">
        <v>19</v>
      </c>
      <c r="D154" t="str">
        <v>smaynard@cole.com</v>
      </c>
      <c r="E154" t="str">
        <v>Mathematics</v>
      </c>
      <c r="F154">
        <v>3.99</v>
      </c>
      <c r="G154">
        <v>2029</v>
      </c>
      <c r="H154">
        <v>81.86</v>
      </c>
      <c r="I154" t="str">
        <v>FULL TIME</v>
      </c>
      <c r="J154" t="str">
        <v>Female</v>
      </c>
    </row>
    <row r="155" spans="1:10">
      <c r="A155">
        <v>6344</v>
      </c>
      <c r="B155" t="str">
        <v>Matthew Sherman</v>
      </c>
      <c r="C155">
        <v>21</v>
      </c>
      <c r="D155" t="str">
        <v>woodmonica@gmail.com</v>
      </c>
      <c r="E155" t="str">
        <v>Physics</v>
      </c>
      <c r="F155">
        <v>3.47</v>
      </c>
      <c r="G155">
        <v>2024</v>
      </c>
      <c r="H155">
        <v>94.48</v>
      </c>
      <c r="I155" t="str">
        <v>FULL TIME</v>
      </c>
      <c r="J155" t="str">
        <v>Male</v>
      </c>
    </row>
    <row r="156" spans="1:10">
      <c r="A156">
        <v>5468</v>
      </c>
      <c r="B156" t="str">
        <v>Stephanie Moore DDS</v>
      </c>
      <c r="C156">
        <v>19</v>
      </c>
      <c r="D156" t="str">
        <v>cynthia58@yahoo.com</v>
      </c>
      <c r="E156" t="str">
        <v>Physics</v>
      </c>
      <c r="F156">
        <v>3.78</v>
      </c>
      <c r="G156">
        <v>2025</v>
      </c>
      <c r="H156">
        <v>82.7</v>
      </c>
      <c r="I156" t="str">
        <v>FULL TIME</v>
      </c>
      <c r="J156" t="str">
        <v>Female</v>
      </c>
    </row>
    <row r="157" spans="1:10">
      <c r="A157">
        <v>2698</v>
      </c>
      <c r="B157" t="str">
        <v>Brandon Fletcher</v>
      </c>
      <c r="C157">
        <v>18</v>
      </c>
      <c r="D157" t="str">
        <v>juliepeterson@pearson-shepherd.net</v>
      </c>
      <c r="E157" t="str">
        <v>Computer Science</v>
      </c>
      <c r="F157">
        <v>3.71</v>
      </c>
      <c r="G157">
        <v>2030</v>
      </c>
      <c r="H157">
        <v>67.03</v>
      </c>
      <c r="I157" t="str">
        <v>FULL TIME</v>
      </c>
      <c r="J157" t="str">
        <v>Male</v>
      </c>
    </row>
    <row r="158" spans="1:10">
      <c r="A158">
        <v>7871</v>
      </c>
      <c r="B158" t="str">
        <v>Ryan Thomas</v>
      </c>
      <c r="C158">
        <v>20</v>
      </c>
      <c r="D158" t="str">
        <v>whitakerjoseph@yahoo.com</v>
      </c>
      <c r="E158" t="str">
        <v>Chemistry</v>
      </c>
      <c r="F158">
        <v>2.59</v>
      </c>
      <c r="G158">
        <v>2027</v>
      </c>
      <c r="H158">
        <v>80.42</v>
      </c>
      <c r="I158" t="str">
        <v>FULL TIME</v>
      </c>
      <c r="J158" t="str">
        <v>Female</v>
      </c>
    </row>
    <row r="159" spans="1:10">
      <c r="A159">
        <v>8556</v>
      </c>
      <c r="B159" t="str">
        <v>Mrs. Amber Luna DVM</v>
      </c>
      <c r="C159">
        <v>19</v>
      </c>
      <c r="D159" t="str">
        <v>zgray@salazar.net</v>
      </c>
      <c r="E159" t="str">
        <v>Chemistry</v>
      </c>
      <c r="F159">
        <v>2.62</v>
      </c>
      <c r="G159">
        <v>2029</v>
      </c>
      <c r="H159">
        <v>90.28</v>
      </c>
      <c r="I159" t="str">
        <v>FULL TIME</v>
      </c>
      <c r="J159" t="str">
        <v>Female</v>
      </c>
    </row>
    <row r="160" spans="1:10">
      <c r="A160">
        <v>5031</v>
      </c>
      <c r="B160" t="str">
        <v>Crystal Fry</v>
      </c>
      <c r="C160">
        <v>20</v>
      </c>
      <c r="D160" t="str">
        <v>xstewart@huff.org</v>
      </c>
      <c r="E160" t="str">
        <v>Computer Science</v>
      </c>
      <c r="F160">
        <v>3</v>
      </c>
      <c r="G160">
        <v>2025</v>
      </c>
      <c r="H160">
        <v>64.4</v>
      </c>
      <c r="I160" t="str">
        <v>FULL TIME</v>
      </c>
      <c r="J160" t="str">
        <v>Female</v>
      </c>
    </row>
    <row r="161" spans="1:10">
      <c r="A161">
        <v>2575</v>
      </c>
      <c r="B161" t="str">
        <v>William Le</v>
      </c>
      <c r="C161">
        <v>20</v>
      </c>
      <c r="D161" t="str">
        <v>morr@gmail.com</v>
      </c>
      <c r="E161" t="str">
        <v>Physics</v>
      </c>
      <c r="F161">
        <v>2.78</v>
      </c>
      <c r="G161">
        <v>2029</v>
      </c>
      <c r="H161">
        <v>92.68</v>
      </c>
      <c r="I161" t="str">
        <v>FULL TIME</v>
      </c>
      <c r="J161" t="str">
        <v>Male</v>
      </c>
    </row>
    <row r="162" spans="1:10">
      <c r="A162">
        <v>2322</v>
      </c>
      <c r="B162" t="str">
        <v>Antonio Carter</v>
      </c>
      <c r="C162">
        <v>20</v>
      </c>
      <c r="D162" t="str">
        <v>jameslisa@morrison.com</v>
      </c>
      <c r="E162" t="str">
        <v>Biology</v>
      </c>
      <c r="F162">
        <v>2.45</v>
      </c>
      <c r="G162">
        <v>2026</v>
      </c>
      <c r="H162">
        <v>66.7</v>
      </c>
      <c r="I162" t="str">
        <v>FULL TIME</v>
      </c>
      <c r="J162" t="str">
        <v>Male</v>
      </c>
    </row>
    <row r="163" spans="1:10">
      <c r="A163">
        <v>9056</v>
      </c>
      <c r="B163" t="str">
        <v>Beth Abbott</v>
      </c>
      <c r="C163">
        <v>24</v>
      </c>
      <c r="D163" t="str">
        <v>jhill@bell.com</v>
      </c>
      <c r="E163" t="str">
        <v>Computer Science</v>
      </c>
      <c r="F163">
        <v>2.58</v>
      </c>
      <c r="G163">
        <v>2025</v>
      </c>
      <c r="H163">
        <v>81.36</v>
      </c>
      <c r="I163" t="str">
        <v>FULL TIME</v>
      </c>
      <c r="J163" t="str">
        <v>Male</v>
      </c>
    </row>
    <row r="164" spans="1:10">
      <c r="A164">
        <v>6326</v>
      </c>
      <c r="B164" t="str">
        <v>Christine Howard</v>
      </c>
      <c r="C164">
        <v>21</v>
      </c>
      <c r="D164" t="str">
        <v>brianna99@hotmail.com</v>
      </c>
      <c r="E164" t="str">
        <v>Chemistry</v>
      </c>
      <c r="F164">
        <v>2.98</v>
      </c>
      <c r="G164">
        <v>2029</v>
      </c>
      <c r="H164">
        <v>75.43</v>
      </c>
      <c r="I164" t="str">
        <v>PART TIME</v>
      </c>
      <c r="J164" t="str">
        <v>Male</v>
      </c>
    </row>
    <row r="165" spans="1:10">
      <c r="A165">
        <v>8790</v>
      </c>
      <c r="B165" t="str">
        <v>Chelsea Arellano</v>
      </c>
      <c r="C165">
        <v>23</v>
      </c>
      <c r="D165" t="str">
        <v>gregory11@russell-morris.com</v>
      </c>
      <c r="E165" t="str">
        <v>Physics</v>
      </c>
      <c r="F165">
        <v>3.14</v>
      </c>
      <c r="G165">
        <v>2028</v>
      </c>
      <c r="H165">
        <v>69.94</v>
      </c>
      <c r="I165" t="str">
        <v>FULL TIME</v>
      </c>
      <c r="J165" t="str">
        <v>Male</v>
      </c>
    </row>
    <row r="166" spans="1:10">
      <c r="A166">
        <v>3873</v>
      </c>
      <c r="B166" t="str">
        <v>Stacy Rodriguez</v>
      </c>
      <c r="C166">
        <v>22</v>
      </c>
      <c r="D166" t="str">
        <v>tranjulia@romero.biz</v>
      </c>
      <c r="E166" t="str">
        <v>Computer Science</v>
      </c>
      <c r="F166">
        <v>3.59</v>
      </c>
      <c r="G166">
        <v>2026</v>
      </c>
      <c r="H166">
        <v>85.9</v>
      </c>
      <c r="I166" t="str">
        <v>FULL TIME</v>
      </c>
      <c r="J166" t="str">
        <v>Male</v>
      </c>
    </row>
    <row r="167" spans="1:10">
      <c r="A167">
        <v>3176</v>
      </c>
      <c r="B167" t="str">
        <v>Shannon Green</v>
      </c>
      <c r="C167">
        <v>22</v>
      </c>
      <c r="D167" t="str">
        <v>ogordon@guerrero-holt.com</v>
      </c>
      <c r="E167" t="str">
        <v>Chemistry</v>
      </c>
      <c r="F167">
        <v>2.22</v>
      </c>
      <c r="G167">
        <v>2030</v>
      </c>
      <c r="H167">
        <v>61.5</v>
      </c>
      <c r="I167" t="str">
        <v>FULL TIME</v>
      </c>
      <c r="J167" t="str">
        <v>Female</v>
      </c>
    </row>
    <row r="168" spans="1:10">
      <c r="A168">
        <v>9203</v>
      </c>
      <c r="B168" t="str">
        <v>Donna Reed</v>
      </c>
      <c r="C168">
        <v>19</v>
      </c>
      <c r="D168" t="str">
        <v>dennisconner@sellers.com</v>
      </c>
      <c r="E168" t="str">
        <v>Physics</v>
      </c>
      <c r="F168">
        <v>3.12</v>
      </c>
      <c r="G168">
        <v>2027</v>
      </c>
      <c r="H168">
        <v>90.4</v>
      </c>
      <c r="I168" t="str">
        <v>FULL TIME</v>
      </c>
      <c r="J168" t="str">
        <v>Male</v>
      </c>
    </row>
    <row r="169" spans="1:10">
      <c r="A169">
        <v>9676</v>
      </c>
      <c r="B169" t="str">
        <v>Michelle Wang</v>
      </c>
      <c r="C169">
        <v>24</v>
      </c>
      <c r="D169" t="str">
        <v>mikecollins@gmail.com</v>
      </c>
      <c r="E169" t="str">
        <v>Computer Science</v>
      </c>
      <c r="F169">
        <v>3.44</v>
      </c>
      <c r="G169">
        <v>2028</v>
      </c>
      <c r="H169">
        <v>81.08</v>
      </c>
      <c r="I169" t="str">
        <v>FULL TIME</v>
      </c>
      <c r="J169" t="str">
        <v>Female</v>
      </c>
    </row>
    <row r="170" spans="1:10">
      <c r="A170">
        <v>2142</v>
      </c>
      <c r="B170" t="str">
        <v>Thomas Barker</v>
      </c>
      <c r="C170">
        <v>25</v>
      </c>
      <c r="D170" t="str">
        <v>mmelendez@lewis.com</v>
      </c>
      <c r="E170" t="str">
        <v>Chemistry</v>
      </c>
      <c r="F170">
        <v>2.54</v>
      </c>
      <c r="G170">
        <v>2028</v>
      </c>
      <c r="H170">
        <v>95.03</v>
      </c>
      <c r="I170" t="str">
        <v>FULL TIME</v>
      </c>
      <c r="J170" t="str">
        <v>Female</v>
      </c>
    </row>
    <row r="171" spans="1:10">
      <c r="A171">
        <v>4138</v>
      </c>
      <c r="B171" t="str">
        <v>Kimberly Cline</v>
      </c>
      <c r="C171">
        <v>23</v>
      </c>
      <c r="D171" t="str">
        <v>davismatthew@gmail.com</v>
      </c>
      <c r="E171" t="str">
        <v>Biology</v>
      </c>
      <c r="F171">
        <v>2.1</v>
      </c>
      <c r="G171">
        <v>2029</v>
      </c>
      <c r="H171">
        <v>80.83</v>
      </c>
      <c r="I171" t="str">
        <v>FULL TIME</v>
      </c>
      <c r="J171" t="str">
        <v>Female</v>
      </c>
    </row>
    <row r="172" spans="1:10">
      <c r="A172">
        <v>8314</v>
      </c>
      <c r="B172" t="str">
        <v>Clinton Weber</v>
      </c>
      <c r="C172">
        <v>25</v>
      </c>
      <c r="D172" t="str">
        <v>bhiggins@jenkins-stevenson.com</v>
      </c>
      <c r="E172" t="str">
        <v>Biology</v>
      </c>
      <c r="F172">
        <v>3.98</v>
      </c>
      <c r="G172">
        <v>2027</v>
      </c>
      <c r="H172">
        <v>61.4</v>
      </c>
      <c r="I172" t="str">
        <v>FULL TIME</v>
      </c>
      <c r="J172" t="str">
        <v>Female</v>
      </c>
    </row>
    <row r="173" spans="1:10">
      <c r="A173">
        <v>9826</v>
      </c>
      <c r="B173" t="str">
        <v>Lindsay Murphy</v>
      </c>
      <c r="C173">
        <v>19</v>
      </c>
      <c r="D173" t="str">
        <v>tammyjones@clayton.info</v>
      </c>
      <c r="E173" t="str">
        <v>Computer Science</v>
      </c>
      <c r="F173">
        <v>3.71</v>
      </c>
      <c r="G173">
        <v>2026</v>
      </c>
      <c r="H173">
        <v>65.74</v>
      </c>
      <c r="I173" t="str">
        <v>FULL TIME</v>
      </c>
      <c r="J173" t="str">
        <v>Female</v>
      </c>
    </row>
    <row r="174" spans="1:10">
      <c r="A174">
        <v>5149</v>
      </c>
      <c r="B174" t="str">
        <v>Mallory May</v>
      </c>
      <c r="C174">
        <v>25</v>
      </c>
      <c r="D174" t="str">
        <v>morrisonlucas@gmail.com</v>
      </c>
      <c r="E174" t="str">
        <v>Biology</v>
      </c>
      <c r="F174">
        <v>2.98</v>
      </c>
      <c r="G174">
        <v>2029</v>
      </c>
      <c r="H174">
        <v>91.82</v>
      </c>
      <c r="I174" t="str">
        <v>FULL TIME</v>
      </c>
      <c r="J174" t="str">
        <v>Male</v>
      </c>
    </row>
    <row r="175" spans="1:10">
      <c r="A175">
        <v>9098</v>
      </c>
      <c r="B175" t="str">
        <v>Larry Torres</v>
      </c>
      <c r="C175">
        <v>25</v>
      </c>
      <c r="D175" t="str">
        <v>rachel70@hotmail.com</v>
      </c>
      <c r="E175" t="str">
        <v>Physics</v>
      </c>
      <c r="F175">
        <v>2.01</v>
      </c>
      <c r="G175">
        <v>2030</v>
      </c>
      <c r="H175">
        <v>79.68</v>
      </c>
      <c r="I175" t="str">
        <v>FULL TIME</v>
      </c>
      <c r="J175" t="str">
        <v>Female</v>
      </c>
    </row>
    <row r="176" spans="1:10">
      <c r="A176">
        <v>2991</v>
      </c>
      <c r="B176" t="str">
        <v>Tina Mccormick</v>
      </c>
      <c r="C176">
        <v>25</v>
      </c>
      <c r="D176" t="str">
        <v>zthompson@lee.com</v>
      </c>
      <c r="E176" t="str">
        <v>Physics</v>
      </c>
      <c r="F176">
        <v>2.09</v>
      </c>
      <c r="G176">
        <v>2027</v>
      </c>
      <c r="H176">
        <v>77.68</v>
      </c>
      <c r="I176" t="str">
        <v>FULL TIME</v>
      </c>
      <c r="J176" t="str">
        <v>Male</v>
      </c>
    </row>
    <row r="177" spans="1:10">
      <c r="A177">
        <v>6780</v>
      </c>
      <c r="B177" t="str">
        <v>Brian Sampson</v>
      </c>
      <c r="C177">
        <v>22</v>
      </c>
      <c r="D177" t="str">
        <v>jamesgeorge@yahoo.com</v>
      </c>
      <c r="E177" t="str">
        <v>Physics</v>
      </c>
      <c r="F177">
        <v>3.11</v>
      </c>
      <c r="G177">
        <v>2025</v>
      </c>
      <c r="H177">
        <v>72.74</v>
      </c>
      <c r="I177" t="str">
        <v>FULL TIME</v>
      </c>
      <c r="J177" t="str">
        <v>Female</v>
      </c>
    </row>
    <row r="178" spans="1:10">
      <c r="A178">
        <v>1363</v>
      </c>
      <c r="B178" t="str">
        <v>Christine Park</v>
      </c>
      <c r="C178">
        <v>19</v>
      </c>
      <c r="D178" t="str">
        <v>goodwinerica@brown.com</v>
      </c>
      <c r="E178" t="str">
        <v>Computer Science</v>
      </c>
      <c r="F178">
        <v>2</v>
      </c>
      <c r="G178">
        <v>2027</v>
      </c>
      <c r="H178">
        <v>71.38</v>
      </c>
      <c r="I178" t="str">
        <v>FULL TIME</v>
      </c>
      <c r="J178" t="str">
        <v>Male</v>
      </c>
    </row>
    <row r="179" spans="1:10">
      <c r="A179">
        <v>6589</v>
      </c>
      <c r="B179" t="str">
        <v>Vicki Lewis</v>
      </c>
      <c r="C179">
        <v>22</v>
      </c>
      <c r="D179" t="str">
        <v>bperry@hotmail.com</v>
      </c>
      <c r="E179" t="str">
        <v>Computer Science</v>
      </c>
      <c r="F179">
        <v>3.9</v>
      </c>
      <c r="G179">
        <v>2028</v>
      </c>
      <c r="H179">
        <v>98.64</v>
      </c>
      <c r="I179" t="str">
        <v>FULL TIME</v>
      </c>
      <c r="J179" t="str">
        <v>Male</v>
      </c>
    </row>
    <row r="180" spans="1:10">
      <c r="A180">
        <v>9377</v>
      </c>
      <c r="B180" t="str">
        <v>Matthew Black</v>
      </c>
      <c r="C180">
        <v>24</v>
      </c>
      <c r="D180" t="str">
        <v>lewisbetty@hotmail.com</v>
      </c>
      <c r="E180" t="str">
        <v>Mathematics</v>
      </c>
      <c r="F180">
        <v>2.63</v>
      </c>
      <c r="G180">
        <v>2029</v>
      </c>
      <c r="H180">
        <v>77.32</v>
      </c>
      <c r="I180" t="str">
        <v>FULL TIME</v>
      </c>
      <c r="J180" t="str">
        <v>Male</v>
      </c>
    </row>
    <row r="181" spans="1:10">
      <c r="A181">
        <v>2982</v>
      </c>
      <c r="B181" t="str">
        <v>Felicia Lee</v>
      </c>
      <c r="C181">
        <v>18</v>
      </c>
      <c r="D181" t="str">
        <v>torresjacqueline@chambers-woodard.net</v>
      </c>
      <c r="E181" t="str">
        <v>Biology</v>
      </c>
      <c r="F181">
        <v>2.61</v>
      </c>
      <c r="G181">
        <v>2028</v>
      </c>
      <c r="H181">
        <v>95.36</v>
      </c>
      <c r="I181" t="str">
        <v>FULL TIME</v>
      </c>
      <c r="J181" t="str">
        <v>Female</v>
      </c>
    </row>
    <row r="182" spans="1:10">
      <c r="A182">
        <v>7186</v>
      </c>
      <c r="B182" t="str">
        <v>James Black</v>
      </c>
      <c r="C182">
        <v>22</v>
      </c>
      <c r="D182" t="str">
        <v>sgarza@nunez.net</v>
      </c>
      <c r="E182" t="str">
        <v>Physics</v>
      </c>
      <c r="F182">
        <v>2.04</v>
      </c>
      <c r="G182">
        <v>2026</v>
      </c>
      <c r="H182">
        <v>85.93</v>
      </c>
      <c r="I182" t="str">
        <v>FULL TIME</v>
      </c>
      <c r="J182" t="str">
        <v>Male</v>
      </c>
    </row>
    <row r="183" spans="1:10">
      <c r="A183">
        <v>4265</v>
      </c>
      <c r="B183" t="str">
        <v>James Mitchell</v>
      </c>
      <c r="C183">
        <v>21</v>
      </c>
      <c r="D183" t="str">
        <v>gracejohnson@yahoo.com</v>
      </c>
      <c r="E183" t="str">
        <v>Mathematics</v>
      </c>
      <c r="F183">
        <v>3.27</v>
      </c>
      <c r="G183">
        <v>2026</v>
      </c>
      <c r="H183">
        <v>94.34</v>
      </c>
      <c r="I183" t="str">
        <v>FULL TIME</v>
      </c>
      <c r="J183" t="str">
        <v>Male</v>
      </c>
    </row>
    <row r="184" spans="1:10">
      <c r="A184">
        <v>9696</v>
      </c>
      <c r="B184" t="str">
        <v>Alexander Mcconnell</v>
      </c>
      <c r="C184">
        <v>24</v>
      </c>
      <c r="D184" t="str">
        <v>corysmith@anderson-anderson.com</v>
      </c>
      <c r="E184" t="str">
        <v>Chemistry</v>
      </c>
      <c r="F184">
        <v>3.27</v>
      </c>
      <c r="G184">
        <v>2029</v>
      </c>
      <c r="H184">
        <v>94.1</v>
      </c>
      <c r="I184" t="str">
        <v>FULL TIME</v>
      </c>
      <c r="J184" t="str">
        <v>Female</v>
      </c>
    </row>
    <row r="185" spans="1:10">
      <c r="A185">
        <v>8291</v>
      </c>
      <c r="B185" t="str">
        <v>Danielle Clark</v>
      </c>
      <c r="C185">
        <v>24</v>
      </c>
      <c r="D185" t="str">
        <v>crystal02@schmidt.com</v>
      </c>
      <c r="E185" t="str">
        <v>Mathematics</v>
      </c>
      <c r="F185">
        <v>3.41</v>
      </c>
      <c r="G185">
        <v>2029</v>
      </c>
      <c r="H185">
        <v>98.25</v>
      </c>
      <c r="I185" t="str">
        <v>FULL TIME</v>
      </c>
      <c r="J185" t="str">
        <v>Female</v>
      </c>
    </row>
    <row r="186" spans="1:10">
      <c r="A186">
        <v>5094</v>
      </c>
      <c r="B186" t="str">
        <v>Robert Foster</v>
      </c>
      <c r="C186">
        <v>24</v>
      </c>
      <c r="D186" t="str">
        <v>teresamoreno@rubio-sanchez.com</v>
      </c>
      <c r="E186" t="str">
        <v>Computer Science</v>
      </c>
      <c r="F186">
        <v>2.08</v>
      </c>
      <c r="G186">
        <v>2030</v>
      </c>
      <c r="H186">
        <v>87.92</v>
      </c>
      <c r="I186" t="str">
        <v>FULL TIME</v>
      </c>
      <c r="J186" t="str">
        <v>Male</v>
      </c>
    </row>
    <row r="187" spans="1:10">
      <c r="A187">
        <v>7933</v>
      </c>
      <c r="B187" t="str">
        <v>Gary Clark</v>
      </c>
      <c r="C187">
        <v>23</v>
      </c>
      <c r="D187" t="str">
        <v>alyssawagner@gmail.com</v>
      </c>
      <c r="E187" t="str">
        <v>Physics</v>
      </c>
      <c r="F187">
        <v>3.96</v>
      </c>
      <c r="G187">
        <v>2026</v>
      </c>
      <c r="H187">
        <v>92.22</v>
      </c>
      <c r="I187" t="str">
        <v>FULL TIME</v>
      </c>
      <c r="J187" t="str">
        <v>Female</v>
      </c>
    </row>
    <row r="188" spans="1:10">
      <c r="A188">
        <v>2962</v>
      </c>
      <c r="B188" t="str">
        <v>Cynthia Martin</v>
      </c>
      <c r="C188">
        <v>24</v>
      </c>
      <c r="D188" t="str">
        <v>caitlynmoody@adams.com</v>
      </c>
      <c r="E188" t="str">
        <v>Physics</v>
      </c>
      <c r="F188">
        <v>3.42</v>
      </c>
      <c r="G188">
        <v>2026</v>
      </c>
      <c r="H188">
        <v>89.33</v>
      </c>
      <c r="I188" t="str">
        <v>FULL TIME</v>
      </c>
      <c r="J188" t="str">
        <v>Female</v>
      </c>
    </row>
    <row r="189" spans="1:10">
      <c r="A189">
        <v>7780</v>
      </c>
      <c r="B189" t="str">
        <v>Brianna Cunningham</v>
      </c>
      <c r="C189">
        <v>21</v>
      </c>
      <c r="D189" t="str">
        <v>alexanderfernando@gmail.com</v>
      </c>
      <c r="E189" t="str">
        <v>Mathematics</v>
      </c>
      <c r="F189">
        <v>2.51</v>
      </c>
      <c r="G189">
        <v>2030</v>
      </c>
      <c r="H189">
        <v>84.21</v>
      </c>
      <c r="I189" t="str">
        <v>FULL TIME</v>
      </c>
      <c r="J189" t="str">
        <v>Male</v>
      </c>
    </row>
    <row r="190" spans="1:10">
      <c r="A190">
        <v>8082</v>
      </c>
      <c r="B190" t="str">
        <v>Dr. Jesus Johnson</v>
      </c>
      <c r="C190">
        <v>21</v>
      </c>
      <c r="D190" t="str">
        <v>xharris@hotmail.com</v>
      </c>
      <c r="E190" t="str">
        <v>Chemistry</v>
      </c>
      <c r="F190">
        <v>2.14</v>
      </c>
      <c r="G190">
        <v>2026</v>
      </c>
      <c r="H190">
        <v>88.69</v>
      </c>
      <c r="I190" t="str">
        <v>FULL TIME</v>
      </c>
      <c r="J190" t="str">
        <v>Male</v>
      </c>
    </row>
    <row r="191" spans="1:10">
      <c r="A191">
        <v>7240</v>
      </c>
      <c r="B191" t="str">
        <v>Jessica Jarvis</v>
      </c>
      <c r="C191">
        <v>22</v>
      </c>
      <c r="D191" t="str">
        <v>nhurst@hester.info</v>
      </c>
      <c r="E191" t="str">
        <v>Biology</v>
      </c>
      <c r="F191">
        <v>2.34</v>
      </c>
      <c r="G191">
        <v>2029</v>
      </c>
      <c r="H191">
        <v>88.63</v>
      </c>
      <c r="I191" t="str">
        <v>FULL TIME</v>
      </c>
      <c r="J191" t="str">
        <v>Male</v>
      </c>
    </row>
    <row r="192" spans="1:10">
      <c r="A192">
        <v>3033</v>
      </c>
      <c r="B192" t="str">
        <v>Theresa Hensley</v>
      </c>
      <c r="C192">
        <v>21</v>
      </c>
      <c r="D192" t="str">
        <v>evance@moore.org</v>
      </c>
      <c r="E192" t="str">
        <v>Mathematics</v>
      </c>
      <c r="F192">
        <v>2.92</v>
      </c>
      <c r="G192">
        <v>2030</v>
      </c>
      <c r="H192">
        <v>61.64</v>
      </c>
      <c r="I192" t="str">
        <v>FULL TIME</v>
      </c>
      <c r="J192" t="str">
        <v>Male</v>
      </c>
    </row>
    <row r="193" spans="1:10">
      <c r="A193">
        <v>2538</v>
      </c>
      <c r="B193" t="str">
        <v>James Mckee</v>
      </c>
      <c r="C193">
        <v>23</v>
      </c>
      <c r="D193" t="str">
        <v>andersonmichelle@yahoo.com</v>
      </c>
      <c r="E193" t="str">
        <v>Physics</v>
      </c>
      <c r="F193">
        <v>2.24</v>
      </c>
      <c r="G193">
        <v>2025</v>
      </c>
      <c r="H193">
        <v>80.64</v>
      </c>
      <c r="I193" t="str">
        <v>FULL TIME</v>
      </c>
      <c r="J193" t="str">
        <v>Female</v>
      </c>
    </row>
    <row r="194" spans="1:10">
      <c r="A194">
        <v>3406</v>
      </c>
      <c r="B194" t="str">
        <v>Jonathan Blanchard</v>
      </c>
      <c r="C194">
        <v>25</v>
      </c>
      <c r="D194" t="str">
        <v>jonathanfoster@sanchez.com</v>
      </c>
      <c r="E194" t="str">
        <v>Computer Science</v>
      </c>
      <c r="F194">
        <v>2.06</v>
      </c>
      <c r="G194">
        <v>2026</v>
      </c>
      <c r="H194">
        <v>91.71</v>
      </c>
      <c r="I194" t="str">
        <v>FULL TIME</v>
      </c>
      <c r="J194" t="str">
        <v>Male</v>
      </c>
    </row>
    <row r="195" spans="1:10">
      <c r="A195">
        <v>5615</v>
      </c>
      <c r="B195" t="str">
        <v>Melissa Estrada</v>
      </c>
      <c r="C195">
        <v>18</v>
      </c>
      <c r="D195" t="str">
        <v>bowmanmatthew@martin-duran.org</v>
      </c>
      <c r="E195" t="str">
        <v>Biology</v>
      </c>
      <c r="F195">
        <v>2.17</v>
      </c>
      <c r="G195">
        <v>2029</v>
      </c>
      <c r="H195">
        <v>69.72</v>
      </c>
      <c r="I195" t="str">
        <v>FULL TIME</v>
      </c>
      <c r="J195" t="str">
        <v>Female</v>
      </c>
    </row>
    <row r="196" spans="1:10">
      <c r="A196">
        <v>3994</v>
      </c>
      <c r="B196" t="str">
        <v>John Gallagher</v>
      </c>
      <c r="C196">
        <v>23</v>
      </c>
      <c r="D196" t="str">
        <v>elliottsheryl@wilcox.net</v>
      </c>
      <c r="E196" t="str">
        <v>Chemistry</v>
      </c>
      <c r="F196">
        <v>2.57</v>
      </c>
      <c r="G196">
        <v>2026</v>
      </c>
      <c r="H196">
        <v>78.61</v>
      </c>
      <c r="I196" t="str">
        <v>FULL TIME</v>
      </c>
      <c r="J196" t="str">
        <v>Male</v>
      </c>
    </row>
    <row r="197" spans="1:10">
      <c r="A197">
        <v>3274</v>
      </c>
      <c r="B197" t="str">
        <v>Catherine Velasquez</v>
      </c>
      <c r="C197">
        <v>22</v>
      </c>
      <c r="D197" t="str">
        <v>fsutton@gmail.com</v>
      </c>
      <c r="E197" t="str">
        <v>Physics</v>
      </c>
      <c r="F197">
        <v>2.71</v>
      </c>
      <c r="G197">
        <v>2025</v>
      </c>
      <c r="H197">
        <v>77.4</v>
      </c>
      <c r="I197" t="str">
        <v>FULL TIME</v>
      </c>
      <c r="J197" t="str">
        <v>Female</v>
      </c>
    </row>
    <row r="198" spans="1:10">
      <c r="A198">
        <v>3609</v>
      </c>
      <c r="B198" t="str">
        <v>Joyce Thomas</v>
      </c>
      <c r="C198">
        <v>19</v>
      </c>
      <c r="D198" t="str">
        <v>zanderson@barrera.net</v>
      </c>
      <c r="E198" t="str">
        <v>Chemistry</v>
      </c>
      <c r="F198">
        <v>2.22</v>
      </c>
      <c r="G198">
        <v>2030</v>
      </c>
      <c r="H198">
        <v>76.11</v>
      </c>
      <c r="I198" t="str">
        <v>FULL TIME</v>
      </c>
      <c r="J198" t="str">
        <v>Male</v>
      </c>
    </row>
    <row r="199" spans="1:10">
      <c r="A199">
        <v>9179</v>
      </c>
      <c r="B199" t="str">
        <v>Theresa Hughes</v>
      </c>
      <c r="C199">
        <v>21</v>
      </c>
      <c r="D199" t="str">
        <v>mstanley@yahoo.com</v>
      </c>
      <c r="E199" t="str">
        <v>Mathematics</v>
      </c>
      <c r="F199">
        <v>3.23</v>
      </c>
      <c r="G199">
        <v>2025</v>
      </c>
      <c r="H199">
        <v>64.87</v>
      </c>
      <c r="I199" t="str">
        <v>FULL TIME</v>
      </c>
      <c r="J199" t="str">
        <v>Female</v>
      </c>
    </row>
    <row r="200" spans="1:10">
      <c r="A200">
        <v>4463</v>
      </c>
      <c r="B200" t="str">
        <v>Steven Golden</v>
      </c>
      <c r="C200">
        <v>19</v>
      </c>
      <c r="D200" t="str">
        <v>nvasquez@yahoo.com</v>
      </c>
      <c r="E200" t="str">
        <v>Computer Science</v>
      </c>
      <c r="F200">
        <v>3.9</v>
      </c>
      <c r="G200">
        <v>2025</v>
      </c>
      <c r="H200">
        <v>81.03</v>
      </c>
      <c r="I200" t="str">
        <v>FULL TIME</v>
      </c>
      <c r="J200" t="str">
        <v>Female</v>
      </c>
    </row>
    <row r="201" spans="1:10">
      <c r="A201">
        <v>6178</v>
      </c>
      <c r="B201" t="str">
        <v>Miss April Smith</v>
      </c>
      <c r="C201">
        <v>20</v>
      </c>
      <c r="D201" t="str">
        <v>logansanchez@manning.com</v>
      </c>
      <c r="E201" t="str">
        <v>Mathematics</v>
      </c>
      <c r="F201">
        <v>3.15</v>
      </c>
      <c r="G201">
        <v>2028</v>
      </c>
      <c r="H201">
        <v>77.85</v>
      </c>
      <c r="I201" t="str">
        <v>FULL TIME</v>
      </c>
      <c r="J201" t="str">
        <v>Male</v>
      </c>
    </row>
  </sheetData>
  <conditionalFormatting sqref="A2:J201">
    <cfRule type="expression" dxfId="17" priority="1">
      <formula>$F2&gt;=LARGE($F$2:$F$201,10)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D12"/>
  <sheetViews>
    <sheetView zoomScale="95" zoomScaleNormal="95" workbookViewId="0">
      <selection activeCell="D6" sqref="D6"/>
      <pivotSelection pane="bottomRight" showHeader="1" extendable="1" r:id="rId1">
        <pivotArea dataOnly="0" outline="0" axis="axisValues" fieldPosition="0"/>
      </pivotSelection>
    </sheetView>
  </sheetViews>
  <sheetFormatPr defaultColWidth="9.23076923076923" defaultRowHeight="16.8" outlineLevelCol="3"/>
  <cols>
    <col min="1" max="1" width="20.3846153846154" customWidth="1"/>
    <col min="2" max="2" width="23.1538461538462" customWidth="1"/>
    <col min="3" max="3" width="18.4615384615385" customWidth="1"/>
    <col min="4" max="4" width="23.1538461538462" customWidth="1"/>
    <col min="5" max="5" width="20.3846153846154" customWidth="1"/>
    <col min="6" max="6" width="7" customWidth="1"/>
    <col min="7" max="13" width="3.69230769230769" customWidth="1"/>
    <col min="14" max="14" width="13.1538461538462" customWidth="1"/>
    <col min="21" max="21" width="12.9230769230769"/>
  </cols>
  <sheetData>
    <row r="6" spans="3:4">
      <c r="C6" t="s">
        <v>4</v>
      </c>
      <c r="D6" s="9" t="s">
        <v>425</v>
      </c>
    </row>
    <row r="7" ht="20.4" spans="2:4">
      <c r="B7" s="10" t="s">
        <v>426</v>
      </c>
      <c r="C7" t="s">
        <v>17</v>
      </c>
      <c r="D7" s="9">
        <v>82.8780434782609</v>
      </c>
    </row>
    <row r="8" spans="3:4">
      <c r="C8" t="s">
        <v>34</v>
      </c>
      <c r="D8" s="9">
        <v>79.7406521739131</v>
      </c>
    </row>
    <row r="9" spans="3:4">
      <c r="C9" t="s">
        <v>12</v>
      </c>
      <c r="D9" s="9">
        <v>79.452</v>
      </c>
    </row>
    <row r="10" spans="3:4">
      <c r="C10" t="s">
        <v>70</v>
      </c>
      <c r="D10" s="9">
        <v>79.0814814814815</v>
      </c>
    </row>
    <row r="11" spans="3:4">
      <c r="C11" t="s">
        <v>20</v>
      </c>
      <c r="D11" s="9">
        <v>78.3658823529411</v>
      </c>
    </row>
    <row r="12" spans="3:4">
      <c r="C12" t="s">
        <v>423</v>
      </c>
      <c r="D12">
        <v>79.9794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D1" sqref="D1"/>
    </sheetView>
  </sheetViews>
  <sheetFormatPr defaultColWidth="9.23076923076923" defaultRowHeight="16.8"/>
  <cols>
    <col min="1" max="1" width="20.3846153846154"/>
    <col min="2" max="9" width="7.07692307692308"/>
    <col min="10" max="10" width="13.0769230769231"/>
  </cols>
  <sheetData>
    <row r="1" spans="1:2">
      <c r="A1" t="s">
        <v>422</v>
      </c>
      <c r="B1" t="s">
        <v>2</v>
      </c>
    </row>
    <row r="2" spans="1:10">
      <c r="A2" t="s">
        <v>6</v>
      </c>
      <c r="B2" s="8">
        <v>18</v>
      </c>
      <c r="C2" s="8">
        <v>19</v>
      </c>
      <c r="D2" s="8">
        <v>20</v>
      </c>
      <c r="E2" s="8">
        <v>21</v>
      </c>
      <c r="F2" s="8">
        <v>22</v>
      </c>
      <c r="G2" s="8">
        <v>23</v>
      </c>
      <c r="H2" s="8">
        <v>24</v>
      </c>
      <c r="I2" s="8">
        <v>25</v>
      </c>
      <c r="J2" t="s">
        <v>423</v>
      </c>
    </row>
    <row r="3" spans="1:10">
      <c r="A3" s="8">
        <v>2024</v>
      </c>
      <c r="B3">
        <v>1</v>
      </c>
      <c r="C3">
        <v>2</v>
      </c>
      <c r="D3"/>
      <c r="E3">
        <v>6</v>
      </c>
      <c r="F3">
        <v>5</v>
      </c>
      <c r="G3">
        <v>2</v>
      </c>
      <c r="H3">
        <v>4</v>
      </c>
      <c r="I3">
        <v>3</v>
      </c>
      <c r="J3">
        <v>23</v>
      </c>
    </row>
    <row r="4" spans="1:10">
      <c r="A4" s="8">
        <v>2025</v>
      </c>
      <c r="B4">
        <v>5</v>
      </c>
      <c r="C4">
        <v>3</v>
      </c>
      <c r="D4">
        <v>4</v>
      </c>
      <c r="E4">
        <v>1</v>
      </c>
      <c r="F4">
        <v>4</v>
      </c>
      <c r="G4">
        <v>6</v>
      </c>
      <c r="H4">
        <v>4</v>
      </c>
      <c r="I4">
        <v>3</v>
      </c>
      <c r="J4">
        <v>30</v>
      </c>
    </row>
    <row r="5" spans="1:10">
      <c r="A5" s="8">
        <v>2026</v>
      </c>
      <c r="B5">
        <v>3</v>
      </c>
      <c r="C5">
        <v>2</v>
      </c>
      <c r="D5">
        <v>2</v>
      </c>
      <c r="E5">
        <v>3</v>
      </c>
      <c r="F5">
        <v>4</v>
      </c>
      <c r="G5">
        <v>3</v>
      </c>
      <c r="H5">
        <v>3</v>
      </c>
      <c r="I5">
        <v>3</v>
      </c>
      <c r="J5">
        <v>23</v>
      </c>
    </row>
    <row r="6" spans="1:10">
      <c r="A6" s="8">
        <v>2027</v>
      </c>
      <c r="B6">
        <v>1</v>
      </c>
      <c r="C6">
        <v>6</v>
      </c>
      <c r="D6">
        <v>6</v>
      </c>
      <c r="E6">
        <v>3</v>
      </c>
      <c r="F6">
        <v>6</v>
      </c>
      <c r="G6">
        <v>3</v>
      </c>
      <c r="H6">
        <v>5</v>
      </c>
      <c r="I6">
        <v>6</v>
      </c>
      <c r="J6">
        <v>36</v>
      </c>
    </row>
    <row r="7" spans="1:10">
      <c r="A7" s="8">
        <v>2028</v>
      </c>
      <c r="B7">
        <v>6</v>
      </c>
      <c r="C7">
        <v>3</v>
      </c>
      <c r="D7">
        <v>1</v>
      </c>
      <c r="E7">
        <v>1</v>
      </c>
      <c r="F7">
        <v>3</v>
      </c>
      <c r="G7">
        <v>7</v>
      </c>
      <c r="H7">
        <v>1</v>
      </c>
      <c r="I7">
        <v>3</v>
      </c>
      <c r="J7">
        <v>25</v>
      </c>
    </row>
    <row r="8" spans="1:10">
      <c r="A8" s="8">
        <v>2029</v>
      </c>
      <c r="B8">
        <v>1</v>
      </c>
      <c r="C8">
        <v>5</v>
      </c>
      <c r="D8">
        <v>6</v>
      </c>
      <c r="E8">
        <v>4</v>
      </c>
      <c r="F8">
        <v>2</v>
      </c>
      <c r="G8">
        <v>2</v>
      </c>
      <c r="H8">
        <v>5</v>
      </c>
      <c r="I8">
        <v>1</v>
      </c>
      <c r="J8">
        <v>26</v>
      </c>
    </row>
    <row r="9" spans="1:10">
      <c r="A9" s="8">
        <v>2030</v>
      </c>
      <c r="B9">
        <v>4</v>
      </c>
      <c r="C9">
        <v>6</v>
      </c>
      <c r="D9">
        <v>5</v>
      </c>
      <c r="E9">
        <v>6</v>
      </c>
      <c r="F9">
        <v>4</v>
      </c>
      <c r="G9">
        <v>2</v>
      </c>
      <c r="H9">
        <v>3</v>
      </c>
      <c r="I9">
        <v>7</v>
      </c>
      <c r="J9">
        <v>37</v>
      </c>
    </row>
    <row r="10" spans="1:10">
      <c r="A10" t="s">
        <v>423</v>
      </c>
      <c r="B10">
        <v>21</v>
      </c>
      <c r="C10">
        <v>27</v>
      </c>
      <c r="D10">
        <v>24</v>
      </c>
      <c r="E10">
        <v>24</v>
      </c>
      <c r="F10">
        <v>28</v>
      </c>
      <c r="G10">
        <v>25</v>
      </c>
      <c r="H10">
        <v>25</v>
      </c>
      <c r="I10">
        <v>26</v>
      </c>
      <c r="J10">
        <v>200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D11"/>
  <sheetViews>
    <sheetView workbookViewId="0">
      <selection activeCell="C4" sqref="C4"/>
    </sheetView>
  </sheetViews>
  <sheetFormatPr defaultColWidth="9.23076923076923" defaultRowHeight="16.8" outlineLevelCol="3"/>
  <cols>
    <col min="1" max="1" width="20.3846153846154"/>
    <col min="2" max="3" width="10.2307692307692"/>
    <col min="4" max="4" width="13.0769230769231"/>
  </cols>
  <sheetData>
    <row r="4" spans="1:2">
      <c r="A4" t="s">
        <v>422</v>
      </c>
      <c r="B4" t="s">
        <v>9</v>
      </c>
    </row>
    <row r="5" spans="1:4">
      <c r="A5" t="s">
        <v>4</v>
      </c>
      <c r="B5" t="s">
        <v>21</v>
      </c>
      <c r="C5" t="s">
        <v>14</v>
      </c>
      <c r="D5" t="s">
        <v>423</v>
      </c>
    </row>
    <row r="6" spans="1:4">
      <c r="A6" t="s">
        <v>70</v>
      </c>
      <c r="B6">
        <v>11</v>
      </c>
      <c r="C6">
        <v>16</v>
      </c>
      <c r="D6">
        <v>27</v>
      </c>
    </row>
    <row r="7" spans="1:4">
      <c r="A7" t="s">
        <v>17</v>
      </c>
      <c r="B7">
        <v>17</v>
      </c>
      <c r="C7">
        <v>29</v>
      </c>
      <c r="D7">
        <v>46</v>
      </c>
    </row>
    <row r="8" spans="1:4">
      <c r="A8" t="s">
        <v>34</v>
      </c>
      <c r="B8">
        <v>18</v>
      </c>
      <c r="C8">
        <v>28</v>
      </c>
      <c r="D8">
        <v>46</v>
      </c>
    </row>
    <row r="9" spans="1:4">
      <c r="A9" t="s">
        <v>12</v>
      </c>
      <c r="B9">
        <v>11</v>
      </c>
      <c r="C9">
        <v>19</v>
      </c>
      <c r="D9">
        <v>30</v>
      </c>
    </row>
    <row r="10" spans="1:4">
      <c r="A10" t="s">
        <v>20</v>
      </c>
      <c r="B10">
        <v>25</v>
      </c>
      <c r="C10">
        <v>26</v>
      </c>
      <c r="D10">
        <v>51</v>
      </c>
    </row>
    <row r="11" spans="1:4">
      <c r="A11" t="s">
        <v>423</v>
      </c>
      <c r="B11">
        <v>82</v>
      </c>
      <c r="C11">
        <v>118</v>
      </c>
      <c r="D11">
        <v>200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L4"/>
  <sheetViews>
    <sheetView workbookViewId="0">
      <selection activeCell="K9" sqref="K9"/>
    </sheetView>
  </sheetViews>
  <sheetFormatPr defaultColWidth="9.23076923076923" defaultRowHeight="16.8" outlineLevelRow="3"/>
  <cols>
    <col min="4" max="4" width="18.3076923076923" customWidth="1"/>
    <col min="5" max="5" width="6.69230769230769" customWidth="1"/>
    <col min="6" max="6" width="33.6923076923077" customWidth="1"/>
    <col min="7" max="7" width="17.9230769230769" customWidth="1"/>
    <col min="8" max="8" width="8.07692307692308" customWidth="1"/>
    <col min="9" max="9" width="24.0769230769231" customWidth="1"/>
    <col min="10" max="10" width="16.9230769230769" customWidth="1"/>
    <col min="11" max="11" width="21.2307692307692" customWidth="1"/>
    <col min="12" max="12" width="11.2307692307692" customWidth="1"/>
  </cols>
  <sheetData>
    <row r="3" ht="23.2" spans="4:12"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</row>
    <row r="4" ht="23.2" spans="4:12">
      <c r="D4" s="7" t="str">
        <f>VLOOKUP(5001,Students_Records[],2,FALSE)</f>
        <v>Jasmin Pena</v>
      </c>
      <c r="E4" s="7">
        <f>VLOOKUP(5001,Students_Records[],3,FALSE)</f>
        <v>23</v>
      </c>
      <c r="F4" s="7" t="str">
        <f>VLOOKUP(5001,Students_Records[],4,FALSE)</f>
        <v>ajackson@hotmail.com</v>
      </c>
      <c r="G4" s="7" t="str">
        <f>VLOOKUP(5001,Students_Records[],5,FALSE)</f>
        <v>Chemistry</v>
      </c>
      <c r="H4" s="7">
        <f>VLOOKUP(5001,Students_Records[],6,FALSE)</f>
        <v>3.64</v>
      </c>
      <c r="I4" s="7">
        <f>VLOOKUP(5001,Students_Records[],7,FALSE)</f>
        <v>2025</v>
      </c>
      <c r="J4" s="7">
        <f>VLOOKUP(5001,Students_Records[],8,FALSE)</f>
        <v>71.08</v>
      </c>
      <c r="K4" s="7" t="str">
        <f>VLOOKUP(5001,Students_Records[],9,FALSE)</f>
        <v>FULL TIME</v>
      </c>
      <c r="L4" s="7" t="str">
        <f>VLOOKUP(5001,Students_Records[],10,FALSE)</f>
        <v>Female</v>
      </c>
    </row>
  </sheetData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9:AI36"/>
  <sheetViews>
    <sheetView showFormulas="1" showGridLines="0" tabSelected="1" zoomScale="90" zoomScaleNormal="90" workbookViewId="0">
      <selection activeCell="F17" sqref="F17"/>
    </sheetView>
  </sheetViews>
  <sheetFormatPr defaultColWidth="9.23076923076923" defaultRowHeight="9.2"/>
  <cols>
    <col min="1" max="16384" width="9.23076923076923" style="1"/>
  </cols>
  <sheetData>
    <row r="9" ht="36" customHeight="1" spans="6:7">
      <c r="F9" s="2"/>
      <c r="G9" s="3"/>
    </row>
    <row r="26" spans="32:35">
      <c r="AF26" s="4"/>
      <c r="AG26" s="4"/>
      <c r="AH26" s="4"/>
      <c r="AI26" s="4"/>
    </row>
    <row r="27" spans="32:35">
      <c r="AF27" s="4"/>
      <c r="AG27" s="4"/>
      <c r="AH27" s="4"/>
      <c r="AI27" s="4"/>
    </row>
    <row r="28" spans="32:35">
      <c r="AF28" s="4"/>
      <c r="AG28" s="4"/>
      <c r="AH28" s="4"/>
      <c r="AI28" s="4"/>
    </row>
    <row r="29" spans="32:35">
      <c r="AF29" s="4"/>
      <c r="AG29" s="4"/>
      <c r="AH29" s="4"/>
      <c r="AI29" s="4"/>
    </row>
    <row r="30" ht="17.6" spans="32:35">
      <c r="AF30" s="5"/>
      <c r="AG30" s="5"/>
      <c r="AH30" s="5"/>
      <c r="AI30" s="4"/>
    </row>
    <row r="31" spans="32:35">
      <c r="AF31" s="4"/>
      <c r="AG31" s="4"/>
      <c r="AH31" s="4"/>
      <c r="AI31" s="4"/>
    </row>
    <row r="32" spans="32:35">
      <c r="AF32" s="4"/>
      <c r="AG32" s="4"/>
      <c r="AH32" s="4"/>
      <c r="AI32" s="4"/>
    </row>
    <row r="33" spans="32:35">
      <c r="AF33" s="4"/>
      <c r="AG33" s="4"/>
      <c r="AH33" s="4"/>
      <c r="AI33" s="4"/>
    </row>
    <row r="34" spans="32:35">
      <c r="AF34" s="4"/>
      <c r="AG34" s="4"/>
      <c r="AH34" s="4"/>
      <c r="AI34" s="4"/>
    </row>
    <row r="35" spans="32:35">
      <c r="AF35" s="4"/>
      <c r="AG35" s="4"/>
      <c r="AH35" s="4"/>
      <c r="AI35" s="4"/>
    </row>
    <row r="36" spans="32:35">
      <c r="AF36" s="4"/>
      <c r="AG36" s="4"/>
      <c r="AH36" s="4"/>
      <c r="AI36" s="4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Cleaned Data</vt:lpstr>
      <vt:lpstr>KPIs</vt:lpstr>
      <vt:lpstr>Top 10 Highest Performing</vt:lpstr>
      <vt:lpstr>Department Vise attendance</vt:lpstr>
      <vt:lpstr>Age Distribution</vt:lpstr>
      <vt:lpstr>Gender Distribution</vt:lpstr>
      <vt:lpstr>VLOOKUP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Kalsoom Ali</dc:creator>
  <cp:lastModifiedBy>wwe3aaup</cp:lastModifiedBy>
  <dcterms:created xsi:type="dcterms:W3CDTF">2026-01-14T06:50:00Z</dcterms:created>
  <dcterms:modified xsi:type="dcterms:W3CDTF">2026-01-15T14:18:25Z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615D0966484F2D2882D86869FFA64086_43</vt:lpwstr>
  </property>
  <property fmtid="{D5CDD505-2E9C-101B-9397-08002B2CF9AE}" pid="3" name="KSOProductBuildVer">
    <vt:lpwstr>1033-12.1.23153.23153</vt:lpwstr>
  </property>
</Properties>
</file>